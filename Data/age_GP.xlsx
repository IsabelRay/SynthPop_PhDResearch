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sabelray/Desktop/UNI/PhD/"/>
    </mc:Choice>
  </mc:AlternateContent>
  <xr:revisionPtr revIDLastSave="0" documentId="13_ncr:1_{F51E71E9-D1A2-E749-8F04-63234D160442}" xr6:coauthVersionLast="47" xr6:coauthVersionMax="47" xr10:uidLastSave="{00000000-0000-0000-0000-000000000000}"/>
  <bookViews>
    <workbookView xWindow="0" yWindow="600" windowWidth="12100" windowHeight="17400" xr2:uid="{CDED8FEB-96D8-8444-803B-771BF80496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T7" i="1" l="1"/>
  <c r="T8" i="1"/>
  <c r="T9" i="1"/>
  <c r="T10" i="1"/>
  <c r="S3" i="1"/>
  <c r="R3" i="1"/>
  <c r="Q3" i="1"/>
  <c r="P3" i="1"/>
  <c r="O3" i="1"/>
  <c r="N3" i="1"/>
  <c r="M3" i="1"/>
  <c r="L3" i="1"/>
  <c r="K3" i="1"/>
  <c r="J3" i="1"/>
  <c r="I3" i="1"/>
  <c r="H3" i="1"/>
  <c r="G3" i="1"/>
  <c r="E3" i="1"/>
  <c r="F3" i="1"/>
  <c r="D3" i="1"/>
  <c r="C3" i="1"/>
  <c r="B3" i="1"/>
  <c r="T2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C5" i="1"/>
  <c r="B5" i="1"/>
  <c r="T4" i="1"/>
</calcChain>
</file>

<file path=xl/sharedStrings.xml><?xml version="1.0" encoding="utf-8"?>
<sst xmlns="http://schemas.openxmlformats.org/spreadsheetml/2006/main" count="29" uniqueCount="29">
  <si>
    <t>Demographic</t>
  </si>
  <si>
    <t>00–04</t>
  </si>
  <si>
    <t>05–09</t>
  </si>
  <si>
    <t>10–14</t>
  </si>
  <si>
    <t>15–19</t>
  </si>
  <si>
    <t>20–24</t>
  </si>
  <si>
    <t>25–29</t>
  </si>
  <si>
    <t>30–34</t>
  </si>
  <si>
    <t>35–39</t>
  </si>
  <si>
    <t>40–44</t>
  </si>
  <si>
    <t>45–49</t>
  </si>
  <si>
    <t>50–54</t>
  </si>
  <si>
    <t>55–59</t>
  </si>
  <si>
    <t>60–64</t>
  </si>
  <si>
    <t>65–69</t>
  </si>
  <si>
    <t>70–74</t>
  </si>
  <si>
    <t>75–79</t>
  </si>
  <si>
    <t>80–84</t>
  </si>
  <si>
    <t>85+</t>
  </si>
  <si>
    <t>Total</t>
  </si>
  <si>
    <t>2011 Census percentages</t>
  </si>
  <si>
    <t>2011 Census</t>
  </si>
  <si>
    <t>2022 Census percentages</t>
  </si>
  <si>
    <t> 2022 Joubert</t>
  </si>
  <si>
    <t> 2018 Joubert</t>
  </si>
  <si>
    <t> 2022 Stats SA</t>
  </si>
  <si>
    <t> 2024 Stats SA</t>
  </si>
  <si>
    <t> 2025 Stats SA</t>
  </si>
  <si>
    <t> 2022 Census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</si>
</sst>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0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name val="Aptos Narrow"/>
      <scheme val="minor"/>
    </font>
    <font>
      <b/>
      <sz val="12"/>
      <color theme="1"/>
      <name val="Aptos Narrow"/>
      <scheme val="minor"/>
    </font>
    <font>
      <sz val="12"/>
      <color rgb="FF1F1F1F"/>
      <name val="Arial"/>
      <family val="2"/>
    </font>
    <font>
      <b/>
      <sz val="12"/>
      <color rgb="FF1F1F1F"/>
      <name val="Arial"/>
      <family val="2"/>
    </font>
    <font>
      <b/>
      <sz val="10"/>
      <color rgb="FF000000"/>
      <name val="Arial"/>
      <family val="2"/>
    </font>
    <font>
      <sz val="12"/>
      <color rgb="FF000000"/>
      <name val="Aptos Display"/>
      <scheme val="major"/>
    </font>
    <font>
      <b/>
      <sz val="12"/>
      <color rgb="FF333333"/>
      <name val="Helvetica"/>
      <family val="2"/>
    </font>
    <font>
      <b/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0" fontId="5" fillId="0" borderId="0" xfId="0" applyFont="1"/>
    <xf numFmtId="0" fontId="4" fillId="0" borderId="0" xfId="0" applyFont="1"/>
    <xf numFmtId="2" fontId="4" fillId="0" borderId="0" xfId="0" applyNumberFormat="1" applyFont="1"/>
    <xf numFmtId="164" fontId="0" fillId="0" borderId="0" xfId="1" applyNumberFormat="1" applyFont="1" applyAlignment="1">
      <alignment vertical="top"/>
    </xf>
    <xf numFmtId="0" fontId="6" fillId="0" borderId="0" xfId="0" applyFont="1"/>
    <xf numFmtId="0" fontId="7" fillId="0" borderId="0" xfId="0" applyFont="1" applyAlignment="1">
      <alignment horizontal="right" vertical="top"/>
    </xf>
    <xf numFmtId="3" fontId="4" fillId="0" borderId="0" xfId="0" applyNumberFormat="1" applyFont="1"/>
    <xf numFmtId="3" fontId="5" fillId="0" borderId="0" xfId="0" applyNumberFormat="1" applyFont="1"/>
    <xf numFmtId="0" fontId="3" fillId="0" borderId="0" xfId="0" applyFont="1"/>
    <xf numFmtId="0" fontId="8" fillId="0" borderId="0" xfId="0" applyFont="1"/>
    <xf numFmtId="0" fontId="9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3FA9D-CFA5-E143-A143-ECC83BD36FA3}">
  <dimension ref="A1:U27"/>
  <sheetViews>
    <sheetView tabSelected="1" workbookViewId="0">
      <selection activeCell="A3" sqref="A3"/>
    </sheetView>
  </sheetViews>
  <sheetFormatPr baseColWidth="10" defaultRowHeight="16"/>
  <cols>
    <col min="1" max="1" width="24.6640625" customWidth="1"/>
    <col min="2" max="7" width="13" bestFit="1" customWidth="1"/>
    <col min="20" max="20" width="14" bestFit="1" customWidth="1"/>
    <col min="21" max="21" width="13" bestFit="1" customWidth="1"/>
  </cols>
  <sheetData>
    <row r="1" spans="1:21" ht="1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1">
      <c r="A2" s="12" t="s">
        <v>20</v>
      </c>
      <c r="B2" s="5">
        <v>9.6999999999999993</v>
      </c>
      <c r="C2" s="5">
        <v>7.4</v>
      </c>
      <c r="D2" s="5">
        <v>6.6</v>
      </c>
      <c r="E2" s="5">
        <v>7.5</v>
      </c>
      <c r="F2" s="5">
        <v>11.2</v>
      </c>
      <c r="G2" s="5">
        <v>12.1</v>
      </c>
      <c r="H2" s="5">
        <v>10</v>
      </c>
      <c r="I2" s="5">
        <v>8.3000000000000007</v>
      </c>
      <c r="J2" s="5">
        <v>6.7</v>
      </c>
      <c r="K2" s="5">
        <v>5.6</v>
      </c>
      <c r="L2" s="5">
        <v>4.5999999999999996</v>
      </c>
      <c r="M2" s="5">
        <v>3.6</v>
      </c>
      <c r="N2" s="5">
        <v>2.5</v>
      </c>
      <c r="O2" s="5">
        <v>1.6</v>
      </c>
      <c r="P2" s="5">
        <v>1.2</v>
      </c>
      <c r="Q2" s="5">
        <v>0.7</v>
      </c>
      <c r="R2" s="5">
        <v>0.5</v>
      </c>
      <c r="S2" s="5">
        <v>0.4</v>
      </c>
      <c r="T2">
        <f>SUM(B2:S2)</f>
        <v>100.19999999999999</v>
      </c>
      <c r="U2" s="3"/>
    </row>
    <row r="3" spans="1:21">
      <c r="A3" s="12" t="s">
        <v>21</v>
      </c>
      <c r="B3" s="3">
        <f>ROUND(B2/100*T3,0)</f>
        <v>1190410</v>
      </c>
      <c r="C3" s="3">
        <f>ROUND(C2/100*T3,0)</f>
        <v>908147</v>
      </c>
      <c r="D3" s="3">
        <f>ROUND(D2/100*T3,0)</f>
        <v>809969</v>
      </c>
      <c r="E3" s="3">
        <f>ROUND(E2/100*T3,0)</f>
        <v>920420</v>
      </c>
      <c r="F3" s="3">
        <f>ROUND(F2/100*T3,0)</f>
        <v>1374493</v>
      </c>
      <c r="G3" s="3">
        <f>ROUND(G2/100*T3,0)</f>
        <v>1484944</v>
      </c>
      <c r="H3" s="3">
        <f>ROUND(H2/100*T3,0)</f>
        <v>1227226</v>
      </c>
      <c r="I3" s="3">
        <f>ROUND(I2/100*T3,0)</f>
        <v>1018598</v>
      </c>
      <c r="J3" s="3">
        <f>ROUND(J2/100*T3,0)</f>
        <v>822242</v>
      </c>
      <c r="K3" s="3">
        <f>ROUND(K2/100*T3,0)</f>
        <v>687247</v>
      </c>
      <c r="L3" s="3">
        <f>ROUND(L2/100*T3,0)</f>
        <v>564524</v>
      </c>
      <c r="M3" s="3">
        <f>ROUND(M2/100*T3,0)</f>
        <v>441801</v>
      </c>
      <c r="N3" s="3">
        <f>ROUND(N2/100*T3,0)</f>
        <v>306807</v>
      </c>
      <c r="O3" s="3">
        <f>ROUND(O2/100*T3,0)</f>
        <v>196356</v>
      </c>
      <c r="P3" s="3">
        <f>ROUND(P2/100*T3,0)</f>
        <v>147267</v>
      </c>
      <c r="Q3" s="3">
        <f>ROUND(Q2/100*T3,0)</f>
        <v>85906</v>
      </c>
      <c r="R3" s="3">
        <f>ROUND(R2/100*T3,0)</f>
        <v>61361</v>
      </c>
      <c r="S3" s="3">
        <f>ROUND(S2/100*T3,0)</f>
        <v>49089</v>
      </c>
      <c r="T3" s="9">
        <v>12272263</v>
      </c>
      <c r="U3" s="3"/>
    </row>
    <row r="4" spans="1:21">
      <c r="A4" s="12" t="s">
        <v>22</v>
      </c>
      <c r="B4" s="6">
        <v>7.9</v>
      </c>
      <c r="C4" s="5">
        <v>6.8</v>
      </c>
      <c r="D4" s="5">
        <v>6.8</v>
      </c>
      <c r="E4" s="5">
        <v>6.2</v>
      </c>
      <c r="F4" s="5">
        <v>8.1999999999999993</v>
      </c>
      <c r="G4" s="5">
        <v>10.4</v>
      </c>
      <c r="H4" s="5">
        <v>11.4</v>
      </c>
      <c r="I4" s="5">
        <v>11</v>
      </c>
      <c r="J4" s="5">
        <v>8.9</v>
      </c>
      <c r="K4" s="5">
        <v>6.3</v>
      </c>
      <c r="L4" s="5">
        <v>4.8</v>
      </c>
      <c r="M4" s="5">
        <v>3.8</v>
      </c>
      <c r="N4" s="5">
        <v>2.8</v>
      </c>
      <c r="O4" s="5">
        <v>1.9</v>
      </c>
      <c r="P4" s="5">
        <v>1.3</v>
      </c>
      <c r="Q4" s="5">
        <v>0.8</v>
      </c>
      <c r="R4" s="5">
        <v>0.4</v>
      </c>
      <c r="S4" s="5">
        <v>0.3</v>
      </c>
      <c r="T4" s="3">
        <f t="shared" ref="T4:T10" si="0">SUM(B4:S4)</f>
        <v>99.999999999999986</v>
      </c>
      <c r="U4" s="3"/>
    </row>
    <row r="5" spans="1:21">
      <c r="A5" s="13" t="s">
        <v>28</v>
      </c>
      <c r="B5" s="3">
        <f>ROUND(B4/100*T5,0)</f>
        <v>1191985</v>
      </c>
      <c r="C5" s="3">
        <f>ROUND(C4/100*T5,0)</f>
        <v>1026013</v>
      </c>
      <c r="D5" s="3">
        <f>ROUND(D4/100*T5,0)</f>
        <v>1026013</v>
      </c>
      <c r="E5" s="3">
        <f>ROUND(E4/100*T5,0)</f>
        <v>935482</v>
      </c>
      <c r="F5" s="3">
        <f>ROUND(F4/100*T5,0)</f>
        <v>1237251</v>
      </c>
      <c r="G5" s="3">
        <f>ROUND(G4/100*T5,0)</f>
        <v>1569196</v>
      </c>
      <c r="H5" s="3">
        <f>ROUND(H4/100*T5,0)</f>
        <v>1720080</v>
      </c>
      <c r="I5" s="3">
        <f>ROUND(I4/100*T5,0)</f>
        <v>1659727</v>
      </c>
      <c r="J5" s="3">
        <f>ROUND(J4/100*T5,0)</f>
        <v>1342870</v>
      </c>
      <c r="K5" s="3">
        <f>ROUND(K4/100*T5,0)</f>
        <v>950571</v>
      </c>
      <c r="L5" s="3">
        <f>ROUND(L4/100*T5,0)</f>
        <v>724244</v>
      </c>
      <c r="M5" s="3">
        <f>ROUND(M4/100*T5,0)</f>
        <v>573360</v>
      </c>
      <c r="N5" s="3">
        <f>ROUND(N4/100*T5,0)</f>
        <v>422476</v>
      </c>
      <c r="O5" s="3">
        <f>ROUND(O4/100*T5,0)</f>
        <v>286680</v>
      </c>
      <c r="P5" s="3">
        <f>ROUND(P4/100*T5,0)</f>
        <v>196149</v>
      </c>
      <c r="Q5" s="3">
        <f>ROUND(Q4/100*T5,0)</f>
        <v>120707</v>
      </c>
      <c r="R5" s="3">
        <f>ROUND(R4/100*T5,0)</f>
        <v>60354</v>
      </c>
      <c r="S5" s="3">
        <f>ROUND(S4/100*T5,0)</f>
        <v>45265</v>
      </c>
      <c r="T5" s="7">
        <v>15088423</v>
      </c>
      <c r="U5" s="7"/>
    </row>
    <row r="6" spans="1:21">
      <c r="A6" s="13" t="s">
        <v>27</v>
      </c>
      <c r="B6" s="3">
        <v>1178774</v>
      </c>
      <c r="C6" s="3">
        <v>1163619</v>
      </c>
      <c r="D6" s="3">
        <v>1197113</v>
      </c>
      <c r="E6" s="3">
        <v>1216327</v>
      </c>
      <c r="F6" s="3">
        <v>1189204</v>
      </c>
      <c r="G6" s="3">
        <v>1328394</v>
      </c>
      <c r="H6" s="3">
        <v>1539921</v>
      </c>
      <c r="I6" s="3">
        <v>1673486</v>
      </c>
      <c r="J6" s="3">
        <v>1408472</v>
      </c>
      <c r="K6" s="3">
        <v>1052236</v>
      </c>
      <c r="L6" s="3">
        <v>844751</v>
      </c>
      <c r="M6" s="3">
        <v>672195</v>
      </c>
      <c r="N6" s="3">
        <v>563789</v>
      </c>
      <c r="O6" s="3">
        <v>443632</v>
      </c>
      <c r="P6" s="3">
        <v>316015</v>
      </c>
      <c r="Q6" s="3">
        <v>195914</v>
      </c>
      <c r="R6" s="3">
        <v>121091</v>
      </c>
      <c r="S6" s="3"/>
      <c r="T6" s="3">
        <v>16104933</v>
      </c>
      <c r="U6" s="3"/>
    </row>
    <row r="7" spans="1:21">
      <c r="A7" s="13" t="s">
        <v>26</v>
      </c>
      <c r="B7" s="10">
        <v>1259564</v>
      </c>
      <c r="C7" s="10">
        <v>1201850</v>
      </c>
      <c r="D7" s="10">
        <v>1224917</v>
      </c>
      <c r="E7" s="10">
        <v>1193940</v>
      </c>
      <c r="F7" s="10">
        <v>1142416</v>
      </c>
      <c r="G7" s="10">
        <v>1333896</v>
      </c>
      <c r="H7" s="10">
        <v>1573520</v>
      </c>
      <c r="I7" s="10">
        <v>1651541</v>
      </c>
      <c r="J7" s="10">
        <v>1354890</v>
      </c>
      <c r="K7" s="10">
        <v>1019085</v>
      </c>
      <c r="L7" s="10">
        <v>810384</v>
      </c>
      <c r="M7" s="10">
        <v>643968</v>
      </c>
      <c r="N7" s="10">
        <v>532938</v>
      </c>
      <c r="O7" s="10">
        <v>412589</v>
      </c>
      <c r="P7" s="10">
        <v>290714</v>
      </c>
      <c r="Q7" s="10">
        <v>177638</v>
      </c>
      <c r="R7" s="10">
        <v>107975</v>
      </c>
      <c r="S7" s="3"/>
      <c r="T7" s="3">
        <f t="shared" si="0"/>
        <v>15931825</v>
      </c>
      <c r="U7" s="3"/>
    </row>
    <row r="8" spans="1:21">
      <c r="A8" s="13" t="s">
        <v>25</v>
      </c>
      <c r="B8" s="10">
        <v>1302798</v>
      </c>
      <c r="C8" s="10">
        <v>1254667</v>
      </c>
      <c r="D8" s="10">
        <v>1228413</v>
      </c>
      <c r="E8" s="10">
        <v>1160230</v>
      </c>
      <c r="F8" s="10">
        <v>1329336</v>
      </c>
      <c r="G8" s="10">
        <v>1631300</v>
      </c>
      <c r="H8" s="10">
        <v>1728349</v>
      </c>
      <c r="I8" s="10">
        <v>1533349</v>
      </c>
      <c r="J8" s="10">
        <v>1198120</v>
      </c>
      <c r="K8" s="10">
        <v>960160</v>
      </c>
      <c r="L8" s="10">
        <v>759636</v>
      </c>
      <c r="M8" s="10">
        <v>620807</v>
      </c>
      <c r="N8" s="10">
        <v>500912</v>
      </c>
      <c r="O8" s="10">
        <v>378624</v>
      </c>
      <c r="P8" s="10">
        <v>263367</v>
      </c>
      <c r="Q8" s="10">
        <v>155718</v>
      </c>
      <c r="R8" s="10">
        <v>92785</v>
      </c>
      <c r="S8" s="3"/>
      <c r="T8" s="3">
        <f t="shared" si="0"/>
        <v>16098571</v>
      </c>
      <c r="U8" s="3"/>
    </row>
    <row r="9" spans="1:21">
      <c r="A9" s="14" t="s">
        <v>24</v>
      </c>
      <c r="B9" s="7">
        <v>1275668</v>
      </c>
      <c r="C9" s="7">
        <v>983165</v>
      </c>
      <c r="D9" s="7">
        <v>875056</v>
      </c>
      <c r="E9" s="7">
        <v>995208</v>
      </c>
      <c r="F9" s="7">
        <v>1353223</v>
      </c>
      <c r="G9" s="7">
        <v>1418583</v>
      </c>
      <c r="H9" s="3">
        <v>1140740</v>
      </c>
      <c r="I9" s="3">
        <v>981751</v>
      </c>
      <c r="J9" s="3">
        <v>794755</v>
      </c>
      <c r="K9" s="3">
        <v>683448</v>
      </c>
      <c r="L9" s="3">
        <v>558953</v>
      </c>
      <c r="M9" s="3">
        <v>435130</v>
      </c>
      <c r="N9" s="3">
        <v>310985</v>
      </c>
      <c r="O9" s="3">
        <v>204821</v>
      </c>
      <c r="P9" s="3">
        <v>144528</v>
      </c>
      <c r="Q9" s="3">
        <v>89591</v>
      </c>
      <c r="R9" s="3">
        <v>55086</v>
      </c>
      <c r="S9" s="3">
        <v>41069</v>
      </c>
      <c r="T9" s="3">
        <f>SUM(B9:S9)</f>
        <v>12341760</v>
      </c>
      <c r="U9" s="3"/>
    </row>
    <row r="10" spans="1:21">
      <c r="A10" s="14" t="s">
        <v>23</v>
      </c>
      <c r="B10" s="7">
        <v>1646489</v>
      </c>
      <c r="C10" s="7">
        <v>1268644</v>
      </c>
      <c r="D10" s="7">
        <v>1144001</v>
      </c>
      <c r="E10" s="7">
        <v>1299822</v>
      </c>
      <c r="F10" s="7">
        <v>1742869</v>
      </c>
      <c r="G10" s="7">
        <v>1847838</v>
      </c>
      <c r="H10" s="3">
        <v>1491181</v>
      </c>
      <c r="I10" s="3">
        <v>1305296</v>
      </c>
      <c r="J10" s="3">
        <v>1043692</v>
      </c>
      <c r="K10" s="3">
        <v>899514</v>
      </c>
      <c r="L10" s="3">
        <v>741375</v>
      </c>
      <c r="M10" s="3">
        <v>571891</v>
      </c>
      <c r="N10" s="3">
        <v>404660</v>
      </c>
      <c r="O10" s="3">
        <v>267752</v>
      </c>
      <c r="P10" s="3">
        <v>187700</v>
      </c>
      <c r="Q10" s="3">
        <v>115383</v>
      </c>
      <c r="R10" s="3">
        <v>68784</v>
      </c>
      <c r="S10" s="3">
        <v>51191</v>
      </c>
      <c r="T10" s="3">
        <f t="shared" si="0"/>
        <v>16098082</v>
      </c>
      <c r="U10" s="3"/>
    </row>
    <row r="11" spans="1:21">
      <c r="T11" s="3"/>
      <c r="U11" s="3"/>
    </row>
    <row r="12" spans="1:21">
      <c r="T12" s="3"/>
      <c r="U12" s="3"/>
    </row>
    <row r="14" spans="1:2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8"/>
    </row>
    <row r="15" spans="1:2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</row>
    <row r="18" spans="1:20">
      <c r="A18" s="4"/>
      <c r="B18" s="4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1"/>
    </row>
    <row r="19" spans="1:20">
      <c r="A19" s="5"/>
      <c r="B19" s="4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1"/>
    </row>
    <row r="20" spans="1:20">
      <c r="A20" s="5"/>
      <c r="B20" s="4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1"/>
    </row>
    <row r="24" spans="1:20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</row>
    <row r="25" spans="1:20">
      <c r="A25" s="4"/>
      <c r="B25" s="4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1"/>
    </row>
    <row r="26" spans="1:20">
      <c r="A26" s="5"/>
      <c r="B26" s="4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1"/>
    </row>
    <row r="27" spans="1:20">
      <c r="A27" s="5"/>
      <c r="B27" s="4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 Ray</dc:creator>
  <cp:lastModifiedBy>Isabel Ray</cp:lastModifiedBy>
  <dcterms:created xsi:type="dcterms:W3CDTF">2026-05-05T10:45:01Z</dcterms:created>
  <dcterms:modified xsi:type="dcterms:W3CDTF">2026-05-12T18:08:32Z</dcterms:modified>
</cp:coreProperties>
</file>