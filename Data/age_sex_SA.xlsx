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ray/Desktop/UNI/PhD/Data/"/>
    </mc:Choice>
  </mc:AlternateContent>
  <xr:revisionPtr revIDLastSave="0" documentId="13_ncr:1_{68349FF3-5C03-7840-A5AF-A276F955C819}" xr6:coauthVersionLast="47" xr6:coauthVersionMax="47" xr10:uidLastSave="{00000000-0000-0000-0000-000000000000}"/>
  <bookViews>
    <workbookView xWindow="1380" yWindow="600" windowWidth="26220" windowHeight="17020" activeTab="2" xr2:uid="{1863C99B-E573-2D49-B3D7-8EDA565E2A16}"/>
  </bookViews>
  <sheets>
    <sheet name="age_sex_SA" sheetId="1" r:id="rId1"/>
    <sheet name="age_WC" sheetId="2" r:id="rId2"/>
    <sheet name="age_G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C4" i="1"/>
  <c r="U2" i="1"/>
  <c r="U3" i="1"/>
  <c r="T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C22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0" i="1"/>
  <c r="U21" i="1"/>
  <c r="U5" i="1"/>
  <c r="U4" i="1" l="1"/>
  <c r="U19" i="1"/>
  <c r="U22" i="1"/>
</calcChain>
</file>

<file path=xl/sharedStrings.xml><?xml version="1.0" encoding="utf-8"?>
<sst xmlns="http://schemas.openxmlformats.org/spreadsheetml/2006/main" count="108" uniqueCount="40">
  <si>
    <t>00–04</t>
  </si>
  <si>
    <t>05–09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</si>
  <si>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</si>
  <si>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</si>
  <si>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</si>
  <si>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</si>
  <si>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</si>
  <si>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</si>
  <si>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</si>
  <si>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</si>
  <si>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</si>
  <si>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</si>
  <si>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</si>
  <si>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</si>
  <si>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</si>
  <si>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</si>
  <si>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</si>
  <si>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</si>
  <si>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Total</t>
  </si>
  <si>
    <t>Data Source</t>
  </si>
  <si>
    <t>Sex</t>
  </si>
  <si>
    <t>2022 Census</t>
  </si>
  <si>
    <t>Male</t>
  </si>
  <si>
    <t>Female</t>
  </si>
  <si>
    <t>2024 Stats SA</t>
  </si>
  <si>
    <t>2022 Stats SA</t>
  </si>
  <si>
    <t>2018 Joubert</t>
  </si>
  <si>
    <t>2022 Joubert</t>
  </si>
  <si>
    <t>2025 Stats SA</t>
  </si>
  <si>
    <t>2011 Census</t>
  </si>
  <si>
    <t>Demographic</t>
  </si>
  <si>
    <t>2011 Census percentages</t>
  </si>
  <si>
    <t>2022 Census percentages</t>
  </si>
  <si>
    <t> 2022 Census</t>
  </si>
  <si>
    <t> 2025 Stats SA</t>
  </si>
  <si>
    <t xml:space="preserve"> 7 627 688 </t>
  </si>
  <si>
    <t> 2024 Stats SA</t>
  </si>
  <si>
    <t> 2022 Stats SA</t>
  </si>
  <si>
    <t> 2018 Joubert</t>
  </si>
  <si>
    <t> 2022 Joubert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</si>
</sst>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ptos Narrow"/>
      <family val="2"/>
      <scheme val="minor"/>
    </font>
    <font>
      <b/>
      <sz val="12"/>
      <color rgb="FF1F1F1F"/>
      <name val="Aptos Display"/>
      <scheme val="major"/>
    </font>
    <font>
      <sz val="12"/>
      <color rgb="FF1F1F1F"/>
      <name val="Aptos Display"/>
      <scheme val="maj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2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333333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tos Display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0" fontId="2" fillId="0" borderId="0" xfId="0" applyFont="1"/>
    <xf numFmtId="0" fontId="1" fillId="0" borderId="0" xfId="0" applyFont="1"/>
    <xf numFmtId="164" fontId="7" fillId="0" borderId="0" xfId="1" applyNumberFormat="1" applyFont="1"/>
    <xf numFmtId="164" fontId="5" fillId="0" borderId="0" xfId="1" applyNumberFormat="1" applyFont="1"/>
    <xf numFmtId="164" fontId="6" fillId="0" borderId="0" xfId="1" applyNumberFormat="1" applyFont="1"/>
    <xf numFmtId="164" fontId="8" fillId="0" borderId="0" xfId="1" applyNumberFormat="1" applyFont="1"/>
    <xf numFmtId="164" fontId="8" fillId="0" borderId="0" xfId="1" applyNumberFormat="1" applyFont="1" applyAlignment="1">
      <alignment horizontal="left"/>
    </xf>
    <xf numFmtId="10" fontId="2" fillId="0" borderId="0" xfId="0" applyNumberFormat="1" applyFon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4" fontId="2" fillId="0" borderId="0" xfId="1" applyNumberFormat="1" applyFont="1"/>
    <xf numFmtId="164" fontId="0" fillId="0" borderId="0" xfId="1" applyNumberFormat="1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10" fontId="1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left" vertical="top" wrapText="1"/>
    </xf>
    <xf numFmtId="10" fontId="10" fillId="0" borderId="0" xfId="0" applyNumberFormat="1" applyFont="1" applyAlignment="1">
      <alignment horizontal="right" vertical="center"/>
    </xf>
    <xf numFmtId="0" fontId="13" fillId="0" borderId="0" xfId="0" applyFont="1"/>
    <xf numFmtId="3" fontId="11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64" fontId="10" fillId="0" borderId="0" xfId="0" applyNumberFormat="1" applyFont="1"/>
    <xf numFmtId="164" fontId="12" fillId="0" borderId="0" xfId="0" applyNumberFormat="1" applyFont="1" applyAlignment="1">
      <alignment horizontal="right" vertical="top"/>
    </xf>
    <xf numFmtId="164" fontId="12" fillId="0" borderId="0" xfId="0" applyNumberFormat="1" applyFont="1"/>
    <xf numFmtId="0" fontId="14" fillId="0" borderId="0" xfId="0" applyFont="1"/>
    <xf numFmtId="164" fontId="15" fillId="0" borderId="0" xfId="0" applyNumberFormat="1" applyFont="1"/>
    <xf numFmtId="0" fontId="15" fillId="0" borderId="0" xfId="0" applyFont="1"/>
    <xf numFmtId="0" fontId="9" fillId="0" borderId="0" xfId="0" applyFont="1" applyAlignment="1">
      <alignment horizontal="center" vertical="top"/>
    </xf>
    <xf numFmtId="0" fontId="12" fillId="0" borderId="0" xfId="0" applyFont="1"/>
    <xf numFmtId="0" fontId="15" fillId="0" borderId="0" xfId="0" applyFont="1" applyAlignment="1">
      <alignment vertical="top"/>
    </xf>
    <xf numFmtId="0" fontId="16" fillId="0" borderId="0" xfId="0" applyFont="1" applyAlignment="1">
      <alignment horizontal="right" vertical="top"/>
    </xf>
    <xf numFmtId="2" fontId="2" fillId="0" borderId="0" xfId="0" applyNumberFormat="1" applyFont="1"/>
    <xf numFmtId="164" fontId="15" fillId="0" borderId="0" xfId="0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4408-D190-1741-822D-AA28CD2E7045}">
  <dimension ref="A1:V52"/>
  <sheetViews>
    <sheetView zoomScale="75" workbookViewId="0">
      <selection activeCell="E27" sqref="E27"/>
    </sheetView>
  </sheetViews>
  <sheetFormatPr baseColWidth="10" defaultRowHeight="16"/>
  <cols>
    <col min="1" max="1" width="23.83203125" style="6" customWidth="1"/>
    <col min="2" max="2" width="10.83203125" style="6"/>
    <col min="3" max="8" width="15.83203125" bestFit="1" customWidth="1"/>
    <col min="9" max="17" width="14.6640625" bestFit="1" customWidth="1"/>
    <col min="18" max="19" width="15.33203125" bestFit="1" customWidth="1"/>
    <col min="20" max="21" width="16.5" customWidth="1"/>
    <col min="22" max="22" width="15.83203125" customWidth="1"/>
  </cols>
  <sheetData>
    <row r="1" spans="1:22">
      <c r="A1" s="8" t="s">
        <v>19</v>
      </c>
      <c r="B1" s="8" t="s">
        <v>20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2">
      <c r="A2" s="8" t="s">
        <v>29</v>
      </c>
      <c r="B2" s="8" t="s">
        <v>22</v>
      </c>
      <c r="C2" s="9">
        <v>2847381</v>
      </c>
      <c r="D2" s="9">
        <v>2433216</v>
      </c>
      <c r="E2" s="9">
        <v>2329675</v>
      </c>
      <c r="F2" s="9">
        <v>2484987</v>
      </c>
      <c r="G2" s="9">
        <v>2692069</v>
      </c>
      <c r="H2" s="9">
        <v>2536757</v>
      </c>
      <c r="I2" s="9">
        <v>2019052</v>
      </c>
      <c r="J2" s="9">
        <v>1708428</v>
      </c>
      <c r="K2" s="9">
        <v>1397805</v>
      </c>
      <c r="L2" s="9">
        <v>1190723</v>
      </c>
      <c r="M2" s="9">
        <v>1035411</v>
      </c>
      <c r="N2" s="9">
        <v>828329</v>
      </c>
      <c r="O2" s="9">
        <v>621247</v>
      </c>
      <c r="P2" s="9">
        <v>414164</v>
      </c>
      <c r="Q2" s="9">
        <v>258853</v>
      </c>
      <c r="R2" s="9">
        <v>155312</v>
      </c>
      <c r="S2" s="9">
        <v>103541</v>
      </c>
      <c r="T2" s="9">
        <v>51771</v>
      </c>
      <c r="U2" s="7">
        <f t="shared" ref="U2:U4" si="0">SUM(C2:T2)</f>
        <v>25108721</v>
      </c>
    </row>
    <row r="3" spans="1:22">
      <c r="A3" s="8"/>
      <c r="B3" s="8" t="s">
        <v>23</v>
      </c>
      <c r="C3" s="9">
        <v>2433216</v>
      </c>
      <c r="D3" s="9">
        <v>2381446</v>
      </c>
      <c r="E3" s="9">
        <v>2226134</v>
      </c>
      <c r="F3" s="9">
        <v>2536757</v>
      </c>
      <c r="G3" s="9">
        <v>2692069</v>
      </c>
      <c r="H3" s="9">
        <v>2536757</v>
      </c>
      <c r="I3" s="9">
        <v>1967281</v>
      </c>
      <c r="J3" s="9">
        <v>1760199</v>
      </c>
      <c r="K3" s="9">
        <v>1553117</v>
      </c>
      <c r="L3" s="9">
        <v>1449576</v>
      </c>
      <c r="M3" s="9">
        <v>1190723</v>
      </c>
      <c r="N3" s="9">
        <v>983641</v>
      </c>
      <c r="O3" s="9">
        <v>776558</v>
      </c>
      <c r="P3" s="9">
        <v>569476</v>
      </c>
      <c r="Q3" s="9">
        <v>465935</v>
      </c>
      <c r="R3" s="9">
        <v>310623</v>
      </c>
      <c r="S3" s="9">
        <v>207082</v>
      </c>
      <c r="T3" s="9">
        <v>51771</v>
      </c>
      <c r="U3" s="7">
        <f t="shared" si="0"/>
        <v>26092361</v>
      </c>
    </row>
    <row r="4" spans="1:22">
      <c r="A4" s="8"/>
      <c r="B4" s="8" t="s">
        <v>18</v>
      </c>
      <c r="C4" s="9">
        <f>SUM(C2:C3)</f>
        <v>5280597</v>
      </c>
      <c r="D4" s="9">
        <f t="shared" ref="D4:T4" si="1">SUM(D2:D3)</f>
        <v>4814662</v>
      </c>
      <c r="E4" s="9">
        <f t="shared" si="1"/>
        <v>4555809</v>
      </c>
      <c r="F4" s="9">
        <f t="shared" si="1"/>
        <v>5021744</v>
      </c>
      <c r="G4" s="9">
        <f t="shared" si="1"/>
        <v>5384138</v>
      </c>
      <c r="H4" s="9">
        <f t="shared" si="1"/>
        <v>5073514</v>
      </c>
      <c r="I4" s="9">
        <f t="shared" si="1"/>
        <v>3986333</v>
      </c>
      <c r="J4" s="9">
        <f t="shared" si="1"/>
        <v>3468627</v>
      </c>
      <c r="K4" s="9">
        <f t="shared" si="1"/>
        <v>2950922</v>
      </c>
      <c r="L4" s="9">
        <f t="shared" si="1"/>
        <v>2640299</v>
      </c>
      <c r="M4" s="9">
        <f t="shared" si="1"/>
        <v>2226134</v>
      </c>
      <c r="N4" s="9">
        <f t="shared" si="1"/>
        <v>1811970</v>
      </c>
      <c r="O4" s="9">
        <f t="shared" si="1"/>
        <v>1397805</v>
      </c>
      <c r="P4" s="9">
        <f t="shared" si="1"/>
        <v>983640</v>
      </c>
      <c r="Q4" s="9">
        <f t="shared" si="1"/>
        <v>724788</v>
      </c>
      <c r="R4" s="9">
        <f t="shared" si="1"/>
        <v>465935</v>
      </c>
      <c r="S4" s="9">
        <f t="shared" si="1"/>
        <v>310623</v>
      </c>
      <c r="T4" s="9">
        <f t="shared" si="1"/>
        <v>103542</v>
      </c>
      <c r="U4" s="7">
        <f t="shared" si="0"/>
        <v>51201082</v>
      </c>
    </row>
    <row r="5" spans="1:22">
      <c r="A5" s="8" t="s">
        <v>21</v>
      </c>
      <c r="B5" s="8" t="s">
        <v>22</v>
      </c>
      <c r="C5" s="9">
        <v>2918292</v>
      </c>
      <c r="D5" s="9">
        <v>2561963</v>
      </c>
      <c r="E5" s="9">
        <v>2713448</v>
      </c>
      <c r="F5" s="9">
        <v>2504677</v>
      </c>
      <c r="G5" s="9">
        <v>2670986</v>
      </c>
      <c r="H5" s="9">
        <v>2825292</v>
      </c>
      <c r="I5" s="9">
        <v>2776212</v>
      </c>
      <c r="J5" s="9">
        <v>2596891</v>
      </c>
      <c r="K5" s="9">
        <v>2089077</v>
      </c>
      <c r="L5" s="9">
        <v>1586698</v>
      </c>
      <c r="M5" s="9">
        <v>1277910</v>
      </c>
      <c r="N5" s="9">
        <v>1100778</v>
      </c>
      <c r="O5" s="9">
        <v>912280</v>
      </c>
      <c r="P5" s="9">
        <v>672433</v>
      </c>
      <c r="Q5" s="9">
        <v>419393</v>
      </c>
      <c r="R5" s="9">
        <v>238713</v>
      </c>
      <c r="S5" s="9">
        <v>132074</v>
      </c>
      <c r="T5" s="9">
        <v>81640</v>
      </c>
      <c r="U5" s="7">
        <f>SUM(C5:T5)</f>
        <v>30078757</v>
      </c>
      <c r="V5" s="4"/>
    </row>
    <row r="6" spans="1:22">
      <c r="A6" s="8"/>
      <c r="B6" s="8" t="s">
        <v>23</v>
      </c>
      <c r="C6" s="9">
        <v>2915222</v>
      </c>
      <c r="D6" s="9">
        <v>2547141</v>
      </c>
      <c r="E6" s="9">
        <v>2690676</v>
      </c>
      <c r="F6" s="9">
        <v>2470633</v>
      </c>
      <c r="G6" s="9">
        <v>2638753</v>
      </c>
      <c r="H6" s="9">
        <v>2907947</v>
      </c>
      <c r="I6" s="9">
        <v>2816611</v>
      </c>
      <c r="J6" s="9">
        <v>2625711</v>
      </c>
      <c r="K6" s="9">
        <v>2096144</v>
      </c>
      <c r="L6" s="9">
        <v>1706813</v>
      </c>
      <c r="M6" s="9">
        <v>1491229</v>
      </c>
      <c r="N6" s="9">
        <v>1395674</v>
      </c>
      <c r="O6" s="9">
        <v>1183387</v>
      </c>
      <c r="P6" s="9">
        <v>927238</v>
      </c>
      <c r="Q6" s="9">
        <v>626614</v>
      </c>
      <c r="R6" s="9">
        <v>413321</v>
      </c>
      <c r="S6" s="9">
        <v>262740</v>
      </c>
      <c r="T6" s="9">
        <v>232892</v>
      </c>
      <c r="U6" s="7">
        <f t="shared" ref="U6:U22" si="2">SUM(C6:T6)</f>
        <v>31948746</v>
      </c>
      <c r="V6" s="4"/>
    </row>
    <row r="7" spans="1:22">
      <c r="A7" s="8"/>
      <c r="B7" s="8" t="s">
        <v>18</v>
      </c>
      <c r="C7" s="9">
        <v>5833515</v>
      </c>
      <c r="D7" s="9">
        <v>5109104</v>
      </c>
      <c r="E7" s="9">
        <v>5404124</v>
      </c>
      <c r="F7" s="9">
        <v>4975309</v>
      </c>
      <c r="G7" s="9">
        <v>5309738</v>
      </c>
      <c r="H7" s="9">
        <v>5733239</v>
      </c>
      <c r="I7" s="9">
        <v>5592823</v>
      </c>
      <c r="J7" s="9">
        <v>5222603</v>
      </c>
      <c r="K7" s="9">
        <v>4185220</v>
      </c>
      <c r="L7" s="9">
        <v>3293511</v>
      </c>
      <c r="M7" s="9">
        <v>2769139</v>
      </c>
      <c r="N7" s="9">
        <v>2496452</v>
      </c>
      <c r="O7" s="9">
        <v>2095667</v>
      </c>
      <c r="P7" s="9">
        <v>1599671</v>
      </c>
      <c r="Q7" s="9">
        <v>1046006</v>
      </c>
      <c r="R7" s="9">
        <v>652033</v>
      </c>
      <c r="S7" s="9">
        <v>394814</v>
      </c>
      <c r="T7" s="9">
        <v>314532</v>
      </c>
      <c r="U7" s="7">
        <f t="shared" si="2"/>
        <v>62027500</v>
      </c>
      <c r="V7" s="4"/>
    </row>
    <row r="8" spans="1:22">
      <c r="A8" s="8" t="s">
        <v>28</v>
      </c>
      <c r="B8" s="8" t="s">
        <v>22</v>
      </c>
      <c r="C8" s="9">
        <v>2790128</v>
      </c>
      <c r="D8" s="9">
        <v>2730286</v>
      </c>
      <c r="E8" s="9">
        <v>2831278</v>
      </c>
      <c r="F8" s="9">
        <v>2767432</v>
      </c>
      <c r="G8" s="9">
        <v>2407414</v>
      </c>
      <c r="H8" s="9">
        <v>2500901</v>
      </c>
      <c r="I8" s="9">
        <v>2762030</v>
      </c>
      <c r="J8" s="9">
        <v>2835996</v>
      </c>
      <c r="K8" s="9">
        <v>2330489</v>
      </c>
      <c r="L8" s="9">
        <v>1767591</v>
      </c>
      <c r="M8" s="9">
        <v>1449841</v>
      </c>
      <c r="N8" s="9">
        <v>1104699</v>
      </c>
      <c r="O8" s="9">
        <v>907605</v>
      </c>
      <c r="P8" s="9">
        <v>689505</v>
      </c>
      <c r="Q8" s="9">
        <v>483382</v>
      </c>
      <c r="R8" s="9">
        <v>290495</v>
      </c>
      <c r="S8" s="9">
        <v>223034</v>
      </c>
      <c r="T8" s="7"/>
      <c r="U8" s="7">
        <f t="shared" si="2"/>
        <v>30872106</v>
      </c>
      <c r="V8" s="4"/>
    </row>
    <row r="9" spans="1:22">
      <c r="A9" s="8"/>
      <c r="B9" s="8" t="s">
        <v>23</v>
      </c>
      <c r="C9" s="9">
        <v>2722873</v>
      </c>
      <c r="D9" s="9">
        <v>2665253</v>
      </c>
      <c r="E9" s="9">
        <v>2775688</v>
      </c>
      <c r="F9" s="9">
        <v>2732803</v>
      </c>
      <c r="G9" s="9">
        <v>2385627</v>
      </c>
      <c r="H9" s="9">
        <v>2465326</v>
      </c>
      <c r="I9" s="9">
        <v>2742243</v>
      </c>
      <c r="J9" s="9">
        <v>2797625</v>
      </c>
      <c r="K9" s="9">
        <v>2295603</v>
      </c>
      <c r="L9" s="9">
        <v>1762035</v>
      </c>
      <c r="M9" s="9">
        <v>1518177</v>
      </c>
      <c r="N9" s="9">
        <v>1354521</v>
      </c>
      <c r="O9" s="9">
        <v>1227274</v>
      </c>
      <c r="P9" s="9">
        <v>1009392</v>
      </c>
      <c r="Q9" s="9">
        <v>770016</v>
      </c>
      <c r="R9" s="9">
        <v>522369</v>
      </c>
      <c r="S9" s="9">
        <v>482014</v>
      </c>
      <c r="T9" s="7"/>
      <c r="U9" s="7">
        <f t="shared" si="2"/>
        <v>32228839</v>
      </c>
      <c r="V9" s="4"/>
    </row>
    <row r="10" spans="1:22">
      <c r="A10" s="8"/>
      <c r="B10" s="8" t="s">
        <v>18</v>
      </c>
      <c r="C10" s="9">
        <v>5513001</v>
      </c>
      <c r="D10" s="9">
        <v>5395539</v>
      </c>
      <c r="E10" s="9">
        <v>5606966</v>
      </c>
      <c r="F10" s="9">
        <v>5500235</v>
      </c>
      <c r="G10" s="9">
        <v>4793041</v>
      </c>
      <c r="H10" s="9">
        <v>4966227</v>
      </c>
      <c r="I10" s="9">
        <v>5504273</v>
      </c>
      <c r="J10" s="9">
        <v>5633621</v>
      </c>
      <c r="K10" s="9">
        <v>4626092</v>
      </c>
      <c r="L10" s="9">
        <v>3529626</v>
      </c>
      <c r="M10" s="9">
        <v>2968018</v>
      </c>
      <c r="N10" s="9">
        <v>2459220</v>
      </c>
      <c r="O10" s="9">
        <v>2134879</v>
      </c>
      <c r="P10" s="9">
        <v>1698897</v>
      </c>
      <c r="Q10" s="9">
        <v>1253398</v>
      </c>
      <c r="R10" s="9">
        <v>812864</v>
      </c>
      <c r="S10" s="9">
        <v>705048</v>
      </c>
      <c r="T10" s="9"/>
      <c r="U10" s="7">
        <f t="shared" si="2"/>
        <v>63100945</v>
      </c>
      <c r="V10" s="4"/>
    </row>
    <row r="11" spans="1:22">
      <c r="A11" s="11" t="s">
        <v>24</v>
      </c>
      <c r="B11" s="8" t="s">
        <v>22</v>
      </c>
      <c r="C11" s="9">
        <v>3023886</v>
      </c>
      <c r="D11" s="9">
        <v>2842136</v>
      </c>
      <c r="E11" s="9">
        <v>2910380</v>
      </c>
      <c r="F11" s="9">
        <v>2757213</v>
      </c>
      <c r="G11" s="9">
        <v>2369402</v>
      </c>
      <c r="H11" s="9">
        <v>2532609</v>
      </c>
      <c r="I11" s="9">
        <v>2803159</v>
      </c>
      <c r="J11" s="9">
        <v>2782081</v>
      </c>
      <c r="K11" s="9">
        <v>2237143</v>
      </c>
      <c r="L11" s="9">
        <v>1710434</v>
      </c>
      <c r="M11" s="9">
        <v>1387114</v>
      </c>
      <c r="N11" s="9">
        <v>1064421</v>
      </c>
      <c r="O11" s="9">
        <v>866481</v>
      </c>
      <c r="P11" s="9">
        <v>654162</v>
      </c>
      <c r="Q11" s="9">
        <v>459581</v>
      </c>
      <c r="R11" s="9">
        <v>273676</v>
      </c>
      <c r="S11" s="9">
        <v>212322</v>
      </c>
      <c r="T11" s="7"/>
      <c r="U11" s="7">
        <f t="shared" si="2"/>
        <v>30886200</v>
      </c>
      <c r="V11" s="4"/>
    </row>
    <row r="12" spans="1:22">
      <c r="A12" s="10"/>
      <c r="B12" s="8" t="s">
        <v>23</v>
      </c>
      <c r="C12" s="9">
        <v>2937247</v>
      </c>
      <c r="D12" s="9">
        <v>2761371</v>
      </c>
      <c r="E12" s="9">
        <v>2852339</v>
      </c>
      <c r="F12" s="9">
        <v>2729231</v>
      </c>
      <c r="G12" s="9">
        <v>2347230</v>
      </c>
      <c r="H12" s="9">
        <v>2519573</v>
      </c>
      <c r="I12" s="9">
        <v>2795107</v>
      </c>
      <c r="J12" s="9">
        <v>2761779</v>
      </c>
      <c r="K12" s="9">
        <v>2238660</v>
      </c>
      <c r="L12" s="9">
        <v>1752519</v>
      </c>
      <c r="M12" s="9">
        <v>1476823</v>
      </c>
      <c r="N12" s="9">
        <v>1291213</v>
      </c>
      <c r="O12" s="9">
        <v>1134227</v>
      </c>
      <c r="P12" s="9">
        <v>921092</v>
      </c>
      <c r="Q12" s="9">
        <v>697690</v>
      </c>
      <c r="R12" s="9">
        <v>471861</v>
      </c>
      <c r="S12" s="9">
        <v>441742</v>
      </c>
      <c r="T12" s="7"/>
      <c r="U12" s="7">
        <f t="shared" si="2"/>
        <v>32129704</v>
      </c>
      <c r="V12" s="4"/>
    </row>
    <row r="13" spans="1:22">
      <c r="A13" s="10"/>
      <c r="B13" s="8" t="s">
        <v>18</v>
      </c>
      <c r="C13" s="9">
        <v>5961133</v>
      </c>
      <c r="D13" s="9">
        <v>5603507</v>
      </c>
      <c r="E13" s="9">
        <v>5762719</v>
      </c>
      <c r="F13" s="9">
        <v>5486444</v>
      </c>
      <c r="G13" s="9">
        <v>4716632</v>
      </c>
      <c r="H13" s="9">
        <v>5052182</v>
      </c>
      <c r="I13" s="9">
        <v>5598266</v>
      </c>
      <c r="J13" s="9">
        <v>5543860</v>
      </c>
      <c r="K13" s="9">
        <v>4475803</v>
      </c>
      <c r="L13" s="9">
        <v>3462953</v>
      </c>
      <c r="M13" s="9">
        <v>2863937</v>
      </c>
      <c r="N13" s="9">
        <v>2355634</v>
      </c>
      <c r="O13" s="9">
        <v>2000708</v>
      </c>
      <c r="P13" s="9">
        <v>1575254</v>
      </c>
      <c r="Q13" s="9">
        <v>1157271</v>
      </c>
      <c r="R13" s="9">
        <v>745537</v>
      </c>
      <c r="S13" s="9">
        <v>654064</v>
      </c>
      <c r="T13" s="7"/>
      <c r="U13" s="7">
        <f t="shared" si="2"/>
        <v>63015904</v>
      </c>
      <c r="V13" s="4"/>
    </row>
    <row r="14" spans="1:22">
      <c r="A14" s="10" t="s">
        <v>25</v>
      </c>
      <c r="B14" s="8" t="s">
        <v>22</v>
      </c>
      <c r="C14" s="9">
        <v>2884691</v>
      </c>
      <c r="D14" s="9">
        <v>2837833</v>
      </c>
      <c r="E14" s="9">
        <v>2890269</v>
      </c>
      <c r="F14" s="9">
        <v>2566719</v>
      </c>
      <c r="G14" s="9">
        <v>2351752</v>
      </c>
      <c r="H14" s="9">
        <v>2626342</v>
      </c>
      <c r="I14" s="9">
        <v>2833963</v>
      </c>
      <c r="J14" s="9">
        <v>2583697</v>
      </c>
      <c r="K14" s="9">
        <v>1990106</v>
      </c>
      <c r="L14" s="9">
        <v>1607584</v>
      </c>
      <c r="M14" s="9">
        <v>1262718</v>
      </c>
      <c r="N14" s="9">
        <v>999048</v>
      </c>
      <c r="O14" s="9">
        <v>777905</v>
      </c>
      <c r="P14" s="9">
        <v>578724</v>
      </c>
      <c r="Q14" s="9">
        <v>399864</v>
      </c>
      <c r="R14" s="9">
        <v>236375</v>
      </c>
      <c r="S14" s="9">
        <v>197292</v>
      </c>
      <c r="T14" s="7"/>
      <c r="U14" s="7">
        <f t="shared" si="2"/>
        <v>29624882</v>
      </c>
    </row>
    <row r="15" spans="1:22">
      <c r="A15" s="10"/>
      <c r="B15" s="8" t="s">
        <v>23</v>
      </c>
      <c r="C15" s="9">
        <v>2809831</v>
      </c>
      <c r="D15" s="9">
        <v>2766037</v>
      </c>
      <c r="E15" s="9">
        <v>2824108</v>
      </c>
      <c r="F15" s="9">
        <v>2534956</v>
      </c>
      <c r="G15" s="9">
        <v>2327273</v>
      </c>
      <c r="H15" s="9">
        <v>2577665</v>
      </c>
      <c r="I15" s="9">
        <v>2761813</v>
      </c>
      <c r="J15" s="9">
        <v>2546286</v>
      </c>
      <c r="K15" s="9">
        <v>2043181</v>
      </c>
      <c r="L15" s="9">
        <v>1699172</v>
      </c>
      <c r="M15" s="9">
        <v>1419523</v>
      </c>
      <c r="N15" s="9">
        <v>1261065</v>
      </c>
      <c r="O15" s="9">
        <v>1068241</v>
      </c>
      <c r="P15" s="9">
        <v>858302</v>
      </c>
      <c r="Q15" s="9">
        <v>644479</v>
      </c>
      <c r="R15" s="9">
        <v>426112</v>
      </c>
      <c r="S15" s="9">
        <v>411966</v>
      </c>
      <c r="T15" s="7"/>
      <c r="U15" s="7">
        <f t="shared" si="2"/>
        <v>30980010</v>
      </c>
    </row>
    <row r="16" spans="1:22">
      <c r="A16" s="10"/>
      <c r="B16" s="8" t="s">
        <v>18</v>
      </c>
      <c r="C16" s="9">
        <v>5694522</v>
      </c>
      <c r="D16" s="9">
        <v>5603870</v>
      </c>
      <c r="E16" s="9">
        <v>5714377</v>
      </c>
      <c r="F16" s="9">
        <v>5101675</v>
      </c>
      <c r="G16" s="9">
        <v>4679025</v>
      </c>
      <c r="H16" s="9">
        <v>5204107</v>
      </c>
      <c r="I16" s="9">
        <v>5595776</v>
      </c>
      <c r="J16" s="9">
        <v>5129983</v>
      </c>
      <c r="K16" s="9">
        <v>4033287</v>
      </c>
      <c r="L16" s="9">
        <v>3306756</v>
      </c>
      <c r="M16" s="9">
        <v>2682241</v>
      </c>
      <c r="N16" s="9">
        <v>2260113</v>
      </c>
      <c r="O16" s="9">
        <v>1846146</v>
      </c>
      <c r="P16" s="9">
        <v>1437026</v>
      </c>
      <c r="Q16" s="9">
        <v>1044343</v>
      </c>
      <c r="R16" s="9">
        <v>662487</v>
      </c>
      <c r="S16" s="9">
        <v>609258</v>
      </c>
      <c r="T16" s="7"/>
      <c r="U16" s="7">
        <f t="shared" si="2"/>
        <v>60604992</v>
      </c>
    </row>
    <row r="17" spans="1:21">
      <c r="A17" s="10" t="s">
        <v>26</v>
      </c>
      <c r="B17" s="8" t="s">
        <v>22</v>
      </c>
      <c r="C17" s="7">
        <v>1287718</v>
      </c>
      <c r="D17" s="7">
        <v>1043087</v>
      </c>
      <c r="E17" s="7">
        <v>947300</v>
      </c>
      <c r="F17" s="7">
        <v>1057260</v>
      </c>
      <c r="G17" s="7">
        <v>1278266</v>
      </c>
      <c r="H17" s="7">
        <v>1274980</v>
      </c>
      <c r="I17" s="7">
        <v>1025626</v>
      </c>
      <c r="J17" s="7">
        <v>903872</v>
      </c>
      <c r="K17" s="7">
        <v>748550</v>
      </c>
      <c r="L17" s="7">
        <v>655900</v>
      </c>
      <c r="M17" s="7">
        <v>546955</v>
      </c>
      <c r="N17" s="7">
        <v>430718</v>
      </c>
      <c r="O17" s="7">
        <v>324192</v>
      </c>
      <c r="P17" s="7">
        <v>215924</v>
      </c>
      <c r="Q17" s="7">
        <v>159787</v>
      </c>
      <c r="R17" s="7">
        <v>98932</v>
      </c>
      <c r="S17" s="7">
        <v>59696</v>
      </c>
      <c r="T17" s="7">
        <v>43332</v>
      </c>
      <c r="U17" s="7">
        <f t="shared" si="2"/>
        <v>12102095</v>
      </c>
    </row>
    <row r="18" spans="1:21">
      <c r="A18" s="10"/>
      <c r="B18" s="10" t="s">
        <v>23</v>
      </c>
      <c r="C18" s="7">
        <v>1242279</v>
      </c>
      <c r="D18" s="7">
        <v>1013072</v>
      </c>
      <c r="E18" s="7">
        <v>921408</v>
      </c>
      <c r="F18" s="7">
        <v>1055848</v>
      </c>
      <c r="G18" s="7">
        <v>1337730</v>
      </c>
      <c r="H18" s="7">
        <v>1354212</v>
      </c>
      <c r="I18" s="7">
        <v>1058342</v>
      </c>
      <c r="J18" s="7">
        <v>928723</v>
      </c>
      <c r="K18" s="7">
        <v>781298</v>
      </c>
      <c r="L18" s="7">
        <v>693708</v>
      </c>
      <c r="M18" s="7">
        <v>574033</v>
      </c>
      <c r="N18" s="7">
        <v>453316</v>
      </c>
      <c r="O18" s="7">
        <v>335453</v>
      </c>
      <c r="P18" s="7">
        <v>224664</v>
      </c>
      <c r="Q18" s="7">
        <v>162885</v>
      </c>
      <c r="R18" s="7">
        <v>102634</v>
      </c>
      <c r="S18" s="7">
        <v>62660</v>
      </c>
      <c r="T18" s="7">
        <v>46603</v>
      </c>
      <c r="U18" s="7">
        <f t="shared" si="2"/>
        <v>12348868</v>
      </c>
    </row>
    <row r="19" spans="1:21">
      <c r="A19" s="10"/>
      <c r="B19" s="10" t="s">
        <v>18</v>
      </c>
      <c r="C19" s="7">
        <f>SUM(C17,C18)</f>
        <v>2529997</v>
      </c>
      <c r="D19" s="7">
        <f t="shared" ref="D19:T19" si="3">SUM(D17,D18)</f>
        <v>2056159</v>
      </c>
      <c r="E19" s="7">
        <f t="shared" si="3"/>
        <v>1868708</v>
      </c>
      <c r="F19" s="7">
        <f t="shared" si="3"/>
        <v>2113108</v>
      </c>
      <c r="G19" s="7">
        <f t="shared" si="3"/>
        <v>2615996</v>
      </c>
      <c r="H19" s="7">
        <f t="shared" si="3"/>
        <v>2629192</v>
      </c>
      <c r="I19" s="7">
        <f t="shared" si="3"/>
        <v>2083968</v>
      </c>
      <c r="J19" s="7">
        <f t="shared" si="3"/>
        <v>1832595</v>
      </c>
      <c r="K19" s="7">
        <f t="shared" si="3"/>
        <v>1529848</v>
      </c>
      <c r="L19" s="7">
        <f t="shared" si="3"/>
        <v>1349608</v>
      </c>
      <c r="M19" s="7">
        <f t="shared" si="3"/>
        <v>1120988</v>
      </c>
      <c r="N19" s="7">
        <f t="shared" si="3"/>
        <v>884034</v>
      </c>
      <c r="O19" s="7">
        <f t="shared" si="3"/>
        <v>659645</v>
      </c>
      <c r="P19" s="7">
        <f t="shared" si="3"/>
        <v>440588</v>
      </c>
      <c r="Q19" s="7">
        <f t="shared" si="3"/>
        <v>322672</v>
      </c>
      <c r="R19" s="7">
        <f t="shared" si="3"/>
        <v>201566</v>
      </c>
      <c r="S19" s="7">
        <f t="shared" si="3"/>
        <v>122356</v>
      </c>
      <c r="T19" s="7">
        <f t="shared" si="3"/>
        <v>89935</v>
      </c>
      <c r="U19" s="7">
        <f t="shared" si="2"/>
        <v>24450963</v>
      </c>
    </row>
    <row r="20" spans="1:21">
      <c r="A20" s="10" t="s">
        <v>27</v>
      </c>
      <c r="B20" s="10" t="s">
        <v>22</v>
      </c>
      <c r="C20" s="7">
        <v>3338095</v>
      </c>
      <c r="D20" s="7">
        <v>2923812</v>
      </c>
      <c r="E20" s="7">
        <v>2760624</v>
      </c>
      <c r="F20" s="7">
        <v>2909555</v>
      </c>
      <c r="G20" s="7">
        <v>2878179</v>
      </c>
      <c r="H20" s="7">
        <v>2703206</v>
      </c>
      <c r="I20" s="7">
        <v>2148649</v>
      </c>
      <c r="J20" s="7">
        <v>1942099</v>
      </c>
      <c r="K20" s="7">
        <v>1642658</v>
      </c>
      <c r="L20" s="7">
        <v>1485429</v>
      </c>
      <c r="M20" s="7">
        <v>1260777</v>
      </c>
      <c r="N20" s="7">
        <v>1024508</v>
      </c>
      <c r="O20" s="7">
        <v>794000</v>
      </c>
      <c r="P20" s="7">
        <v>553182</v>
      </c>
      <c r="Q20" s="7">
        <v>429384</v>
      </c>
      <c r="R20" s="7">
        <v>262085</v>
      </c>
      <c r="S20" s="7">
        <v>170073</v>
      </c>
      <c r="T20" s="7">
        <v>128924</v>
      </c>
      <c r="U20" s="7">
        <f t="shared" si="2"/>
        <v>29355239</v>
      </c>
    </row>
    <row r="21" spans="1:21">
      <c r="A21" s="10"/>
      <c r="B21" s="10" t="s">
        <v>23</v>
      </c>
      <c r="C21" s="7">
        <v>3331309</v>
      </c>
      <c r="D21" s="7">
        <v>2922941</v>
      </c>
      <c r="E21" s="7">
        <v>2779624</v>
      </c>
      <c r="F21" s="7">
        <v>3000708</v>
      </c>
      <c r="G21" s="7">
        <v>3111407</v>
      </c>
      <c r="H21" s="7">
        <v>2965799</v>
      </c>
      <c r="I21" s="7">
        <v>2327870</v>
      </c>
      <c r="J21" s="7">
        <v>2096036</v>
      </c>
      <c r="K21" s="7">
        <v>1785283</v>
      </c>
      <c r="L21" s="7">
        <v>1646011</v>
      </c>
      <c r="M21" s="7">
        <v>1383342</v>
      </c>
      <c r="N21" s="7">
        <v>1118723</v>
      </c>
      <c r="O21" s="7">
        <v>854887</v>
      </c>
      <c r="P21" s="7">
        <v>596626</v>
      </c>
      <c r="Q21" s="7">
        <v>455218</v>
      </c>
      <c r="R21" s="7">
        <v>295778</v>
      </c>
      <c r="S21" s="7">
        <v>192129</v>
      </c>
      <c r="T21" s="7">
        <v>148228</v>
      </c>
      <c r="U21" s="7">
        <f t="shared" si="2"/>
        <v>31011919</v>
      </c>
    </row>
    <row r="22" spans="1:21">
      <c r="A22" s="8"/>
      <c r="B22" s="8" t="s">
        <v>18</v>
      </c>
      <c r="C22" s="8">
        <f>SUM(C20,C21)</f>
        <v>6669404</v>
      </c>
      <c r="D22" s="8">
        <f t="shared" ref="D22:T22" si="4">SUM(D20,D21)</f>
        <v>5846753</v>
      </c>
      <c r="E22" s="8">
        <f t="shared" si="4"/>
        <v>5540248</v>
      </c>
      <c r="F22" s="8">
        <f t="shared" si="4"/>
        <v>5910263</v>
      </c>
      <c r="G22" s="8">
        <f t="shared" si="4"/>
        <v>5989586</v>
      </c>
      <c r="H22" s="8">
        <f t="shared" si="4"/>
        <v>5669005</v>
      </c>
      <c r="I22" s="8">
        <f t="shared" si="4"/>
        <v>4476519</v>
      </c>
      <c r="J22" s="8">
        <f t="shared" si="4"/>
        <v>4038135</v>
      </c>
      <c r="K22" s="8">
        <f t="shared" si="4"/>
        <v>3427941</v>
      </c>
      <c r="L22" s="8">
        <f t="shared" si="4"/>
        <v>3131440</v>
      </c>
      <c r="M22" s="8">
        <f t="shared" si="4"/>
        <v>2644119</v>
      </c>
      <c r="N22" s="8">
        <f t="shared" si="4"/>
        <v>2143231</v>
      </c>
      <c r="O22" s="8">
        <f t="shared" si="4"/>
        <v>1648887</v>
      </c>
      <c r="P22" s="8">
        <f t="shared" si="4"/>
        <v>1149808</v>
      </c>
      <c r="Q22" s="8">
        <f t="shared" si="4"/>
        <v>884602</v>
      </c>
      <c r="R22" s="8">
        <f t="shared" si="4"/>
        <v>557863</v>
      </c>
      <c r="S22" s="8">
        <f t="shared" si="4"/>
        <v>362202</v>
      </c>
      <c r="T22" s="8">
        <f t="shared" si="4"/>
        <v>277152</v>
      </c>
      <c r="U22" s="7">
        <f t="shared" si="2"/>
        <v>60367158</v>
      </c>
    </row>
    <row r="23" spans="1:21">
      <c r="A23" s="1"/>
      <c r="U23" s="2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1">
      <c r="A25" s="1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4"/>
    </row>
    <row r="26" spans="1:21">
      <c r="A26" s="5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</row>
    <row r="27" spans="1:21">
      <c r="A27" s="5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"/>
    </row>
    <row r="28" spans="1:21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1">
      <c r="B29" s="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R29" s="12"/>
      <c r="S29" s="12"/>
      <c r="T29" s="12"/>
    </row>
    <row r="30" spans="1:21">
      <c r="B30" s="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O30" s="13"/>
      <c r="P30" s="13"/>
      <c r="R30" s="16"/>
      <c r="S30" s="16"/>
      <c r="T30" s="12"/>
    </row>
    <row r="31" spans="1:21">
      <c r="B31" s="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4"/>
      <c r="O31" s="13"/>
      <c r="P31" s="13"/>
      <c r="R31" s="16"/>
      <c r="S31" s="16"/>
      <c r="T31" s="12"/>
    </row>
    <row r="32" spans="1:21">
      <c r="B32" s="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4"/>
      <c r="O32" s="13"/>
      <c r="P32" s="13"/>
      <c r="R32" s="16"/>
      <c r="S32" s="16"/>
      <c r="T32" s="12"/>
    </row>
    <row r="33" spans="2:20">
      <c r="B33" s="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O33" s="13"/>
      <c r="P33" s="13"/>
      <c r="R33" s="16"/>
      <c r="S33" s="16"/>
      <c r="T33" s="12"/>
    </row>
    <row r="34" spans="2:20">
      <c r="O34" s="13"/>
      <c r="P34" s="13"/>
      <c r="R34" s="16"/>
      <c r="S34" s="16"/>
    </row>
    <row r="35" spans="2:20">
      <c r="O35" s="13"/>
      <c r="P35" s="13"/>
      <c r="R35" s="16"/>
      <c r="S35" s="16"/>
    </row>
    <row r="36" spans="2:20">
      <c r="O36" s="13"/>
      <c r="P36" s="13"/>
      <c r="R36" s="16"/>
      <c r="S36" s="16"/>
    </row>
    <row r="37" spans="2:20">
      <c r="O37" s="13"/>
      <c r="P37" s="13"/>
      <c r="R37" s="16"/>
      <c r="S37" s="16"/>
    </row>
    <row r="38" spans="2:20">
      <c r="O38" s="13"/>
      <c r="P38" s="13"/>
      <c r="R38" s="16"/>
      <c r="S38" s="16"/>
    </row>
    <row r="39" spans="2:20">
      <c r="O39" s="13"/>
      <c r="P39" s="13"/>
      <c r="R39" s="16"/>
      <c r="S39" s="16"/>
    </row>
    <row r="40" spans="2:20">
      <c r="O40" s="13"/>
      <c r="P40" s="13"/>
      <c r="R40" s="16"/>
      <c r="S40" s="16"/>
    </row>
    <row r="41" spans="2:20">
      <c r="O41" s="13"/>
      <c r="P41" s="13"/>
      <c r="R41" s="16"/>
      <c r="S41" s="16"/>
    </row>
    <row r="42" spans="2:20">
      <c r="O42" s="13"/>
      <c r="P42" s="13"/>
      <c r="R42" s="16"/>
      <c r="S42" s="16"/>
    </row>
    <row r="43" spans="2:20">
      <c r="O43" s="13"/>
      <c r="P43" s="13"/>
      <c r="R43" s="16"/>
      <c r="S43" s="16"/>
    </row>
    <row r="44" spans="2:20">
      <c r="O44" s="13"/>
      <c r="P44" s="13"/>
      <c r="R44" s="16"/>
      <c r="S44" s="16"/>
    </row>
    <row r="45" spans="2:20">
      <c r="O45" s="13"/>
      <c r="P45" s="13"/>
      <c r="R45" s="16"/>
      <c r="S45" s="16"/>
    </row>
    <row r="46" spans="2:20">
      <c r="O46" s="13"/>
      <c r="P46" s="13"/>
      <c r="R46" s="16"/>
      <c r="S46" s="16"/>
    </row>
    <row r="47" spans="2:20">
      <c r="O47" s="13"/>
      <c r="P47" s="13"/>
      <c r="R47" s="16"/>
      <c r="S47" s="16"/>
    </row>
    <row r="48" spans="2:20">
      <c r="R48" s="17"/>
      <c r="S48" s="17"/>
    </row>
    <row r="49" spans="15:20">
      <c r="R49" s="17"/>
      <c r="S49" s="17"/>
      <c r="T49" s="15"/>
    </row>
    <row r="52" spans="15:20">
      <c r="O52" s="14"/>
      <c r="P5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7495-D73B-8747-97D4-6D79B5A4DBE8}">
  <dimension ref="A1:U12"/>
  <sheetViews>
    <sheetView workbookViewId="0">
      <selection activeCell="G16" sqref="G16"/>
    </sheetView>
  </sheetViews>
  <sheetFormatPr baseColWidth="10" defaultRowHeight="16"/>
  <sheetData>
    <row r="1" spans="1:21" ht="34">
      <c r="A1" s="18" t="s">
        <v>30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  <c r="R1" s="19" t="s">
        <v>16</v>
      </c>
      <c r="S1" s="19" t="s">
        <v>17</v>
      </c>
      <c r="T1" s="19" t="s">
        <v>18</v>
      </c>
      <c r="U1" s="20"/>
    </row>
    <row r="2" spans="1:21" ht="68">
      <c r="A2" s="18" t="s">
        <v>31</v>
      </c>
      <c r="B2" s="21">
        <v>9.7000000000000003E-2</v>
      </c>
      <c r="C2" s="21">
        <v>7.9000000000000001E-2</v>
      </c>
      <c r="D2" s="21">
        <v>7.4999999999999997E-2</v>
      </c>
      <c r="E2" s="21">
        <v>8.2000000000000003E-2</v>
      </c>
      <c r="F2" s="21">
        <v>0.1</v>
      </c>
      <c r="G2" s="21">
        <v>0.10199999999999999</v>
      </c>
      <c r="H2" s="21">
        <v>8.3000000000000004E-2</v>
      </c>
      <c r="I2" s="21">
        <v>7.4999999999999997E-2</v>
      </c>
      <c r="J2" s="21">
        <v>6.8000000000000005E-2</v>
      </c>
      <c r="K2" s="21">
        <v>0.06</v>
      </c>
      <c r="L2" s="21">
        <v>0.05</v>
      </c>
      <c r="M2" s="21">
        <v>3.9E-2</v>
      </c>
      <c r="N2" s="21">
        <v>3.1E-2</v>
      </c>
      <c r="O2" s="21">
        <v>2.1999999999999999E-2</v>
      </c>
      <c r="P2" s="21">
        <v>1.6E-2</v>
      </c>
      <c r="Q2" s="21">
        <v>0.01</v>
      </c>
      <c r="R2" s="21">
        <v>6.0000000000000001E-3</v>
      </c>
      <c r="S2" s="21">
        <v>5.0000000000000001E-3</v>
      </c>
      <c r="T2" s="21">
        <v>1</v>
      </c>
      <c r="U2" s="22"/>
    </row>
    <row r="3" spans="1:21" ht="34">
      <c r="A3" s="18" t="s">
        <v>29</v>
      </c>
      <c r="B3" s="23">
        <v>564805</v>
      </c>
      <c r="C3" s="23">
        <v>459996</v>
      </c>
      <c r="D3" s="23">
        <v>436705</v>
      </c>
      <c r="E3" s="23">
        <v>477464</v>
      </c>
      <c r="F3" s="23">
        <v>582274</v>
      </c>
      <c r="G3" s="23">
        <v>593919</v>
      </c>
      <c r="H3" s="23">
        <v>483287</v>
      </c>
      <c r="I3" s="23">
        <v>436705</v>
      </c>
      <c r="J3" s="23">
        <v>395946</v>
      </c>
      <c r="K3" s="23">
        <v>349364</v>
      </c>
      <c r="L3" s="23">
        <v>291137</v>
      </c>
      <c r="M3" s="23">
        <v>227087</v>
      </c>
      <c r="N3" s="23">
        <v>180505</v>
      </c>
      <c r="O3" s="23">
        <v>128100</v>
      </c>
      <c r="P3" s="23">
        <v>93164</v>
      </c>
      <c r="Q3" s="23">
        <v>58227</v>
      </c>
      <c r="R3" s="23">
        <v>34936</v>
      </c>
      <c r="S3" s="23">
        <v>29114</v>
      </c>
      <c r="T3" s="24">
        <v>5822735</v>
      </c>
      <c r="U3" s="25"/>
    </row>
    <row r="4" spans="1:21" ht="68">
      <c r="A4" s="26" t="s">
        <v>32</v>
      </c>
      <c r="B4" s="27">
        <v>7.9000000000000001E-2</v>
      </c>
      <c r="C4" s="27">
        <v>7.0000000000000007E-2</v>
      </c>
      <c r="D4" s="27">
        <v>7.4999999999999997E-2</v>
      </c>
      <c r="E4" s="27">
        <v>7.1999999999999995E-2</v>
      </c>
      <c r="F4" s="27">
        <v>8.6999999999999994E-2</v>
      </c>
      <c r="G4" s="27">
        <v>9.4E-2</v>
      </c>
      <c r="H4" s="27">
        <v>9.1999999999999998E-2</v>
      </c>
      <c r="I4" s="27">
        <v>9.0999999999999998E-2</v>
      </c>
      <c r="J4" s="27">
        <v>7.4999999999999997E-2</v>
      </c>
      <c r="K4" s="27">
        <v>5.8000000000000003E-2</v>
      </c>
      <c r="L4" s="27">
        <v>5.1999999999999998E-2</v>
      </c>
      <c r="M4" s="27">
        <v>4.4999999999999998E-2</v>
      </c>
      <c r="N4" s="27">
        <v>3.7999999999999999E-2</v>
      </c>
      <c r="O4" s="27">
        <v>2.8000000000000001E-2</v>
      </c>
      <c r="P4" s="27">
        <v>0.02</v>
      </c>
      <c r="Q4" s="27">
        <v>1.2999999999999999E-2</v>
      </c>
      <c r="R4" s="27">
        <v>7.0000000000000001E-3</v>
      </c>
      <c r="S4" s="27">
        <v>5.0000000000000001E-3</v>
      </c>
      <c r="T4" s="27">
        <v>1.0009999999999999</v>
      </c>
      <c r="U4" s="22"/>
    </row>
    <row r="5" spans="1:21">
      <c r="A5" s="28" t="s">
        <v>33</v>
      </c>
      <c r="B5" s="29">
        <v>587209</v>
      </c>
      <c r="C5" s="29">
        <v>520311</v>
      </c>
      <c r="D5" s="29">
        <v>557477</v>
      </c>
      <c r="E5" s="29">
        <v>535177</v>
      </c>
      <c r="F5" s="29">
        <v>646673</v>
      </c>
      <c r="G5" s="29">
        <v>698704</v>
      </c>
      <c r="H5" s="29">
        <v>683838</v>
      </c>
      <c r="I5" s="29">
        <v>676405</v>
      </c>
      <c r="J5" s="29">
        <v>557477</v>
      </c>
      <c r="K5" s="29">
        <v>431115</v>
      </c>
      <c r="L5" s="29">
        <v>386517</v>
      </c>
      <c r="M5" s="29">
        <v>334486</v>
      </c>
      <c r="N5" s="29">
        <v>282455</v>
      </c>
      <c r="O5" s="29">
        <v>208125</v>
      </c>
      <c r="P5" s="29">
        <v>148660</v>
      </c>
      <c r="Q5" s="29">
        <v>96629</v>
      </c>
      <c r="R5" s="29">
        <v>52031</v>
      </c>
      <c r="S5" s="29">
        <v>37165</v>
      </c>
      <c r="T5" s="30">
        <v>7433020</v>
      </c>
      <c r="U5" s="31"/>
    </row>
    <row r="6" spans="1:21">
      <c r="A6" s="28" t="s">
        <v>34</v>
      </c>
      <c r="B6" s="32">
        <v>534142</v>
      </c>
      <c r="C6" s="32">
        <v>533310</v>
      </c>
      <c r="D6" s="32">
        <v>582460</v>
      </c>
      <c r="E6" s="32">
        <v>601478</v>
      </c>
      <c r="F6" s="32">
        <v>561903</v>
      </c>
      <c r="G6" s="32">
        <v>607754</v>
      </c>
      <c r="H6" s="32">
        <v>668027</v>
      </c>
      <c r="I6" s="32">
        <v>710057</v>
      </c>
      <c r="J6" s="32">
        <v>617314</v>
      </c>
      <c r="K6" s="32">
        <v>482906</v>
      </c>
      <c r="L6" s="32">
        <v>422059</v>
      </c>
      <c r="M6" s="32">
        <v>367932</v>
      </c>
      <c r="N6" s="32">
        <v>311716</v>
      </c>
      <c r="O6" s="32">
        <v>244042</v>
      </c>
      <c r="P6" s="32">
        <v>175109</v>
      </c>
      <c r="Q6" s="32">
        <v>119228</v>
      </c>
      <c r="R6" s="32">
        <v>88250</v>
      </c>
      <c r="S6" s="20"/>
      <c r="T6" s="33" t="s">
        <v>35</v>
      </c>
      <c r="U6" s="31"/>
    </row>
    <row r="7" spans="1:21">
      <c r="A7" s="28" t="s">
        <v>36</v>
      </c>
      <c r="B7" s="32">
        <v>580928</v>
      </c>
      <c r="C7" s="32">
        <v>557784</v>
      </c>
      <c r="D7" s="32">
        <v>592805</v>
      </c>
      <c r="E7" s="32">
        <v>592344</v>
      </c>
      <c r="F7" s="32">
        <v>549038</v>
      </c>
      <c r="G7" s="32">
        <v>609262</v>
      </c>
      <c r="H7" s="32">
        <v>676191</v>
      </c>
      <c r="I7" s="32">
        <v>701020</v>
      </c>
      <c r="J7" s="32">
        <v>595481</v>
      </c>
      <c r="K7" s="32">
        <v>473516</v>
      </c>
      <c r="L7" s="32">
        <v>413586</v>
      </c>
      <c r="M7" s="32">
        <v>354836</v>
      </c>
      <c r="N7" s="32">
        <v>293442</v>
      </c>
      <c r="O7" s="32">
        <v>225058</v>
      </c>
      <c r="P7" s="32">
        <v>160856</v>
      </c>
      <c r="Q7" s="32">
        <v>108577</v>
      </c>
      <c r="R7" s="32">
        <v>77865</v>
      </c>
      <c r="S7" s="20"/>
      <c r="T7" s="34">
        <v>7562588</v>
      </c>
      <c r="U7" s="32"/>
    </row>
    <row r="8" spans="1:21">
      <c r="A8" s="28" t="s">
        <v>37</v>
      </c>
      <c r="B8" s="32">
        <v>586201</v>
      </c>
      <c r="C8" s="32">
        <v>563946</v>
      </c>
      <c r="D8" s="32">
        <v>584587</v>
      </c>
      <c r="E8" s="32">
        <v>541399</v>
      </c>
      <c r="F8" s="32">
        <v>541516</v>
      </c>
      <c r="G8" s="32">
        <v>618913</v>
      </c>
      <c r="H8" s="32">
        <v>674382</v>
      </c>
      <c r="I8" s="32">
        <v>645660</v>
      </c>
      <c r="J8" s="32">
        <v>522499</v>
      </c>
      <c r="K8" s="32">
        <v>443366</v>
      </c>
      <c r="L8" s="32">
        <v>387070</v>
      </c>
      <c r="M8" s="32">
        <v>328100</v>
      </c>
      <c r="N8" s="32">
        <v>263720</v>
      </c>
      <c r="O8" s="32">
        <v>197991</v>
      </c>
      <c r="P8" s="32">
        <v>143999</v>
      </c>
      <c r="Q8" s="32">
        <v>94167</v>
      </c>
      <c r="R8" s="32">
        <v>74627</v>
      </c>
      <c r="S8" s="20"/>
      <c r="T8" s="34">
        <v>7212142</v>
      </c>
      <c r="U8" s="32"/>
    </row>
    <row r="9" spans="1:21">
      <c r="A9" s="35" t="s">
        <v>38</v>
      </c>
      <c r="B9" s="36">
        <v>422920</v>
      </c>
      <c r="C9" s="36">
        <v>357981</v>
      </c>
      <c r="D9" s="36">
        <v>335851</v>
      </c>
      <c r="E9" s="36">
        <v>370119</v>
      </c>
      <c r="F9" s="36">
        <v>444595</v>
      </c>
      <c r="G9" s="36">
        <v>440051</v>
      </c>
      <c r="H9" s="36">
        <v>333660</v>
      </c>
      <c r="I9" s="36">
        <v>306382</v>
      </c>
      <c r="J9" s="36">
        <v>271116</v>
      </c>
      <c r="K9" s="36">
        <v>238867</v>
      </c>
      <c r="L9" s="36">
        <v>202313</v>
      </c>
      <c r="M9" s="36">
        <v>155198</v>
      </c>
      <c r="N9" s="36">
        <v>121790</v>
      </c>
      <c r="O9" s="36">
        <v>80816</v>
      </c>
      <c r="P9" s="36">
        <v>60285</v>
      </c>
      <c r="Q9" s="36">
        <v>40262</v>
      </c>
      <c r="R9" s="36">
        <v>22684</v>
      </c>
      <c r="S9" s="37">
        <v>16836</v>
      </c>
      <c r="T9" s="34">
        <v>4221726</v>
      </c>
      <c r="U9" s="20"/>
    </row>
    <row r="10" spans="1:21">
      <c r="A10" s="35" t="s">
        <v>39</v>
      </c>
      <c r="B10" s="36">
        <v>725590</v>
      </c>
      <c r="C10" s="36">
        <v>613572</v>
      </c>
      <c r="D10" s="36">
        <v>580851</v>
      </c>
      <c r="E10" s="36">
        <v>625602</v>
      </c>
      <c r="F10" s="36">
        <v>739255</v>
      </c>
      <c r="G10" s="36">
        <v>730322</v>
      </c>
      <c r="H10" s="36">
        <v>561346</v>
      </c>
      <c r="I10" s="36">
        <v>518228</v>
      </c>
      <c r="J10" s="36">
        <v>463094</v>
      </c>
      <c r="K10" s="36">
        <v>410288</v>
      </c>
      <c r="L10" s="36">
        <v>346591</v>
      </c>
      <c r="M10" s="36">
        <v>267186</v>
      </c>
      <c r="N10" s="36">
        <v>210862</v>
      </c>
      <c r="O10" s="36">
        <v>146466</v>
      </c>
      <c r="P10" s="36">
        <v>108734</v>
      </c>
      <c r="Q10" s="36">
        <v>71764</v>
      </c>
      <c r="R10" s="36">
        <v>41192</v>
      </c>
      <c r="S10" s="37">
        <v>28955</v>
      </c>
      <c r="T10" s="34">
        <v>7189898</v>
      </c>
      <c r="U10" s="20"/>
    </row>
    <row r="11" spans="1:21">
      <c r="A11" s="3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spans="1:21">
      <c r="A12" s="3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188-E14D-854E-809F-30D8113A3E31}">
  <dimension ref="A1:U13"/>
  <sheetViews>
    <sheetView tabSelected="1" workbookViewId="0">
      <selection activeCell="L23" sqref="L23"/>
    </sheetView>
  </sheetViews>
  <sheetFormatPr baseColWidth="10" defaultRowHeight="16"/>
  <sheetData>
    <row r="1" spans="1:21" ht="34">
      <c r="A1" s="18" t="s">
        <v>30</v>
      </c>
      <c r="B1" s="38" t="s">
        <v>0</v>
      </c>
      <c r="C1" s="38" t="s">
        <v>1</v>
      </c>
      <c r="D1" s="38" t="s">
        <v>2</v>
      </c>
      <c r="E1" s="38" t="s">
        <v>3</v>
      </c>
      <c r="F1" s="38" t="s">
        <v>4</v>
      </c>
      <c r="G1" s="38" t="s">
        <v>5</v>
      </c>
      <c r="H1" s="38" t="s">
        <v>6</v>
      </c>
      <c r="I1" s="38" t="s">
        <v>7</v>
      </c>
      <c r="J1" s="38" t="s">
        <v>8</v>
      </c>
      <c r="K1" s="38" t="s">
        <v>9</v>
      </c>
      <c r="L1" s="38" t="s">
        <v>10</v>
      </c>
      <c r="M1" s="38" t="s">
        <v>11</v>
      </c>
      <c r="N1" s="38" t="s">
        <v>12</v>
      </c>
      <c r="O1" s="38" t="s">
        <v>13</v>
      </c>
      <c r="P1" s="38" t="s">
        <v>14</v>
      </c>
      <c r="Q1" s="38" t="s">
        <v>15</v>
      </c>
      <c r="R1" s="38" t="s">
        <v>16</v>
      </c>
      <c r="S1" s="38" t="s">
        <v>17</v>
      </c>
      <c r="T1" s="38" t="s">
        <v>18</v>
      </c>
      <c r="U1" s="37"/>
    </row>
    <row r="2" spans="1:21">
      <c r="A2" s="39" t="s">
        <v>31</v>
      </c>
      <c r="B2" s="5">
        <v>9.6999999999999993</v>
      </c>
      <c r="C2" s="5">
        <v>7.4</v>
      </c>
      <c r="D2" s="5">
        <v>6.6</v>
      </c>
      <c r="E2" s="5">
        <v>7.5</v>
      </c>
      <c r="F2" s="5">
        <v>11.2</v>
      </c>
      <c r="G2" s="5">
        <v>12.1</v>
      </c>
      <c r="H2" s="5">
        <v>10</v>
      </c>
      <c r="I2" s="5">
        <v>8.3000000000000007</v>
      </c>
      <c r="J2" s="5">
        <v>6.7</v>
      </c>
      <c r="K2" s="5">
        <v>5.6</v>
      </c>
      <c r="L2" s="5">
        <v>4.5999999999999996</v>
      </c>
      <c r="M2" s="5">
        <v>3.6</v>
      </c>
      <c r="N2" s="5">
        <v>2.5</v>
      </c>
      <c r="O2" s="5">
        <v>1.6</v>
      </c>
      <c r="P2" s="5">
        <v>1.2</v>
      </c>
      <c r="Q2" s="5">
        <v>0.7</v>
      </c>
      <c r="R2" s="5">
        <v>0.5</v>
      </c>
      <c r="S2" s="5">
        <v>0.4</v>
      </c>
      <c r="T2" s="37">
        <v>100.2</v>
      </c>
      <c r="U2" s="40"/>
    </row>
    <row r="3" spans="1:21">
      <c r="A3" s="39" t="s">
        <v>29</v>
      </c>
      <c r="B3" s="40">
        <v>1190410</v>
      </c>
      <c r="C3" s="40">
        <v>908147</v>
      </c>
      <c r="D3" s="40">
        <v>809969</v>
      </c>
      <c r="E3" s="40">
        <v>920420</v>
      </c>
      <c r="F3" s="40">
        <v>1374493</v>
      </c>
      <c r="G3" s="40">
        <v>1484944</v>
      </c>
      <c r="H3" s="40">
        <v>1227226</v>
      </c>
      <c r="I3" s="40">
        <v>1018598</v>
      </c>
      <c r="J3" s="40">
        <v>822242</v>
      </c>
      <c r="K3" s="40">
        <v>687247</v>
      </c>
      <c r="L3" s="40">
        <v>564524</v>
      </c>
      <c r="M3" s="40">
        <v>441801</v>
      </c>
      <c r="N3" s="40">
        <v>306807</v>
      </c>
      <c r="O3" s="40">
        <v>196356</v>
      </c>
      <c r="P3" s="40">
        <v>147267</v>
      </c>
      <c r="Q3" s="40">
        <v>85906</v>
      </c>
      <c r="R3" s="40">
        <v>61361</v>
      </c>
      <c r="S3" s="40">
        <v>49089</v>
      </c>
      <c r="T3" s="41">
        <v>12272263</v>
      </c>
      <c r="U3" s="40"/>
    </row>
    <row r="4" spans="1:21">
      <c r="A4" s="39" t="s">
        <v>32</v>
      </c>
      <c r="B4" s="42">
        <v>7.9</v>
      </c>
      <c r="C4" s="5">
        <v>6.8</v>
      </c>
      <c r="D4" s="5">
        <v>6.8</v>
      </c>
      <c r="E4" s="5">
        <v>6.2</v>
      </c>
      <c r="F4" s="5">
        <v>8.1999999999999993</v>
      </c>
      <c r="G4" s="5">
        <v>10.4</v>
      </c>
      <c r="H4" s="5">
        <v>11.4</v>
      </c>
      <c r="I4" s="5">
        <v>11</v>
      </c>
      <c r="J4" s="5">
        <v>8.9</v>
      </c>
      <c r="K4" s="5">
        <v>6.3</v>
      </c>
      <c r="L4" s="5">
        <v>4.8</v>
      </c>
      <c r="M4" s="5">
        <v>3.8</v>
      </c>
      <c r="N4" s="5">
        <v>2.8</v>
      </c>
      <c r="O4" s="5">
        <v>1.9</v>
      </c>
      <c r="P4" s="5">
        <v>1.3</v>
      </c>
      <c r="Q4" s="5">
        <v>0.8</v>
      </c>
      <c r="R4" s="5">
        <v>0.4</v>
      </c>
      <c r="S4" s="5">
        <v>0.3</v>
      </c>
      <c r="T4" s="40">
        <v>100</v>
      </c>
      <c r="U4" s="40"/>
    </row>
    <row r="5" spans="1:21">
      <c r="A5" s="28" t="s">
        <v>33</v>
      </c>
      <c r="B5" s="40">
        <v>1191985</v>
      </c>
      <c r="C5" s="40">
        <v>1026013</v>
      </c>
      <c r="D5" s="40">
        <v>1026013</v>
      </c>
      <c r="E5" s="40">
        <v>935482</v>
      </c>
      <c r="F5" s="40">
        <v>1237251</v>
      </c>
      <c r="G5" s="40">
        <v>1569196</v>
      </c>
      <c r="H5" s="40">
        <v>1720080</v>
      </c>
      <c r="I5" s="40">
        <v>1659727</v>
      </c>
      <c r="J5" s="40">
        <v>1342870</v>
      </c>
      <c r="K5" s="40">
        <v>950571</v>
      </c>
      <c r="L5" s="40">
        <v>724244</v>
      </c>
      <c r="M5" s="40">
        <v>573360</v>
      </c>
      <c r="N5" s="40">
        <v>422476</v>
      </c>
      <c r="O5" s="40">
        <v>286680</v>
      </c>
      <c r="P5" s="40">
        <v>196149</v>
      </c>
      <c r="Q5" s="40">
        <v>120707</v>
      </c>
      <c r="R5" s="40">
        <v>60354</v>
      </c>
      <c r="S5" s="40">
        <v>45265</v>
      </c>
      <c r="T5" s="43">
        <v>15088423</v>
      </c>
      <c r="U5" s="43"/>
    </row>
    <row r="6" spans="1:21">
      <c r="A6" s="28" t="s">
        <v>34</v>
      </c>
      <c r="B6" s="40">
        <v>1178774</v>
      </c>
      <c r="C6" s="40">
        <v>1163619</v>
      </c>
      <c r="D6" s="40">
        <v>1197113</v>
      </c>
      <c r="E6" s="40">
        <v>1216327</v>
      </c>
      <c r="F6" s="40">
        <v>1189204</v>
      </c>
      <c r="G6" s="40">
        <v>1328394</v>
      </c>
      <c r="H6" s="40">
        <v>1539921</v>
      </c>
      <c r="I6" s="40">
        <v>1673486</v>
      </c>
      <c r="J6" s="40">
        <v>1408472</v>
      </c>
      <c r="K6" s="40">
        <v>1052236</v>
      </c>
      <c r="L6" s="40">
        <v>844751</v>
      </c>
      <c r="M6" s="40">
        <v>672195</v>
      </c>
      <c r="N6" s="40">
        <v>563789</v>
      </c>
      <c r="O6" s="40">
        <v>443632</v>
      </c>
      <c r="P6" s="40">
        <v>316015</v>
      </c>
      <c r="Q6" s="40">
        <v>195914</v>
      </c>
      <c r="R6" s="40">
        <v>121091</v>
      </c>
      <c r="S6" s="40"/>
      <c r="T6" s="40">
        <v>16104933</v>
      </c>
      <c r="U6" s="40"/>
    </row>
    <row r="7" spans="1:21">
      <c r="A7" s="28" t="s">
        <v>36</v>
      </c>
      <c r="B7" s="3">
        <v>1259564</v>
      </c>
      <c r="C7" s="3">
        <v>1201850</v>
      </c>
      <c r="D7" s="3">
        <v>1224917</v>
      </c>
      <c r="E7" s="3">
        <v>1193940</v>
      </c>
      <c r="F7" s="3">
        <v>1142416</v>
      </c>
      <c r="G7" s="3">
        <v>1333896</v>
      </c>
      <c r="H7" s="3">
        <v>1573520</v>
      </c>
      <c r="I7" s="3">
        <v>1651541</v>
      </c>
      <c r="J7" s="3">
        <v>1354890</v>
      </c>
      <c r="K7" s="3">
        <v>1019085</v>
      </c>
      <c r="L7" s="3">
        <v>810384</v>
      </c>
      <c r="M7" s="3">
        <v>643968</v>
      </c>
      <c r="N7" s="3">
        <v>532938</v>
      </c>
      <c r="O7" s="3">
        <v>412589</v>
      </c>
      <c r="P7" s="3">
        <v>290714</v>
      </c>
      <c r="Q7" s="3">
        <v>177638</v>
      </c>
      <c r="R7" s="3">
        <v>107975</v>
      </c>
      <c r="S7" s="40"/>
      <c r="T7" s="40">
        <v>15931825</v>
      </c>
      <c r="U7" s="40"/>
    </row>
    <row r="8" spans="1:21">
      <c r="A8" s="28" t="s">
        <v>37</v>
      </c>
      <c r="B8" s="3">
        <v>1302798</v>
      </c>
      <c r="C8" s="3">
        <v>1254667</v>
      </c>
      <c r="D8" s="3">
        <v>1228413</v>
      </c>
      <c r="E8" s="3">
        <v>1160230</v>
      </c>
      <c r="F8" s="3">
        <v>1329336</v>
      </c>
      <c r="G8" s="3">
        <v>1631300</v>
      </c>
      <c r="H8" s="3">
        <v>1728349</v>
      </c>
      <c r="I8" s="3">
        <v>1533349</v>
      </c>
      <c r="J8" s="3">
        <v>1198120</v>
      </c>
      <c r="K8" s="3">
        <v>960160</v>
      </c>
      <c r="L8" s="3">
        <v>759636</v>
      </c>
      <c r="M8" s="3">
        <v>620807</v>
      </c>
      <c r="N8" s="3">
        <v>500912</v>
      </c>
      <c r="O8" s="3">
        <v>378624</v>
      </c>
      <c r="P8" s="3">
        <v>263367</v>
      </c>
      <c r="Q8" s="3">
        <v>155718</v>
      </c>
      <c r="R8" s="3">
        <v>92785</v>
      </c>
      <c r="S8" s="40"/>
      <c r="T8" s="40">
        <v>16098571</v>
      </c>
      <c r="U8" s="40"/>
    </row>
    <row r="9" spans="1:21">
      <c r="A9" s="35" t="s">
        <v>38</v>
      </c>
      <c r="B9" s="43">
        <v>1275668</v>
      </c>
      <c r="C9" s="43">
        <v>983165</v>
      </c>
      <c r="D9" s="43">
        <v>875056</v>
      </c>
      <c r="E9" s="43">
        <v>995208</v>
      </c>
      <c r="F9" s="43">
        <v>1353223</v>
      </c>
      <c r="G9" s="43">
        <v>1418583</v>
      </c>
      <c r="H9" s="40">
        <v>1140740</v>
      </c>
      <c r="I9" s="40">
        <v>981751</v>
      </c>
      <c r="J9" s="40">
        <v>794755</v>
      </c>
      <c r="K9" s="40">
        <v>683448</v>
      </c>
      <c r="L9" s="40">
        <v>558953</v>
      </c>
      <c r="M9" s="40">
        <v>435130</v>
      </c>
      <c r="N9" s="40">
        <v>310985</v>
      </c>
      <c r="O9" s="40">
        <v>204821</v>
      </c>
      <c r="P9" s="40">
        <v>144528</v>
      </c>
      <c r="Q9" s="40">
        <v>89591</v>
      </c>
      <c r="R9" s="40">
        <v>55086</v>
      </c>
      <c r="S9" s="40">
        <v>41069</v>
      </c>
      <c r="T9" s="40">
        <v>12341760</v>
      </c>
      <c r="U9" s="40"/>
    </row>
    <row r="10" spans="1:21">
      <c r="A10" s="35" t="s">
        <v>39</v>
      </c>
      <c r="B10" s="43">
        <v>1646489</v>
      </c>
      <c r="C10" s="43">
        <v>1268644</v>
      </c>
      <c r="D10" s="43">
        <v>1144001</v>
      </c>
      <c r="E10" s="43">
        <v>1299822</v>
      </c>
      <c r="F10" s="43">
        <v>1742869</v>
      </c>
      <c r="G10" s="43">
        <v>1847838</v>
      </c>
      <c r="H10" s="40">
        <v>1491181</v>
      </c>
      <c r="I10" s="40">
        <v>1305296</v>
      </c>
      <c r="J10" s="40">
        <v>1043692</v>
      </c>
      <c r="K10" s="40">
        <v>899514</v>
      </c>
      <c r="L10" s="40">
        <v>741375</v>
      </c>
      <c r="M10" s="40">
        <v>571891</v>
      </c>
      <c r="N10" s="40">
        <v>404660</v>
      </c>
      <c r="O10" s="40">
        <v>267752</v>
      </c>
      <c r="P10" s="40">
        <v>187700</v>
      </c>
      <c r="Q10" s="40">
        <v>115383</v>
      </c>
      <c r="R10" s="40">
        <v>68784</v>
      </c>
      <c r="S10" s="40">
        <v>51191</v>
      </c>
      <c r="T10" s="40">
        <v>16098082</v>
      </c>
      <c r="U10" s="40"/>
    </row>
    <row r="11" spans="1:2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40"/>
      <c r="U11" s="40"/>
    </row>
    <row r="12" spans="1:2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40"/>
      <c r="U12" s="40"/>
    </row>
    <row r="13" spans="1:2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age_sex_SA</vt:lpstr>
      <vt:lpstr>age_WC</vt:lpstr>
      <vt:lpstr>age_GP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Ray</dc:creator>
  <cp:lastModifiedBy>Isabel Ray</cp:lastModifiedBy>
  <dcterms:created xsi:type="dcterms:W3CDTF">2026-05-05T11:00:38Z</dcterms:created>
  <dcterms:modified xsi:type="dcterms:W3CDTF">2026-05-20T08:58:10Z</dcterms:modified>
</cp:coreProperties>
</file>