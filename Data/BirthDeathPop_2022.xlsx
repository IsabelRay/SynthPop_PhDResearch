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ray/Desktop/UNI/PhD/Data/"/>
    </mc:Choice>
  </mc:AlternateContent>
  <xr:revisionPtr revIDLastSave="0" documentId="13_ncr:1_{A956B8E6-ACD6-8240-A093-87FE62A07823}" xr6:coauthVersionLast="47" xr6:coauthVersionMax="47" xr10:uidLastSave="{00000000-0000-0000-0000-000000000000}"/>
  <bookViews>
    <workbookView xWindow="0" yWindow="600" windowWidth="28040" windowHeight="16660" activeTab="2" xr2:uid="{6BF89F3F-2959-B742-97BD-43081FC004ED}"/>
  </bookViews>
  <sheets>
    <sheet name="LiveBirthRates2022" sheetId="1" r:id="rId1"/>
    <sheet name="MortalityRates2022" sheetId="2" r:id="rId2"/>
    <sheet name="PopCount202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3" l="1"/>
  <c r="C19" i="3"/>
  <c r="B19" i="3"/>
  <c r="C14" i="1" l="1"/>
  <c r="B14" i="1"/>
</calcChain>
</file>

<file path=xl/sharedStrings.xml><?xml version="1.0" encoding="utf-8"?>
<sst xmlns="http://schemas.openxmlformats.org/spreadsheetml/2006/main" count="59" uniqueCount="27">
  <si>
    <t>Mother's Age</t>
  </si>
  <si>
    <t>Number of Live Births</t>
  </si>
  <si>
    <t>Percentage (%)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</si>
  <si>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</si>
  <si>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</si>
  <si>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</si>
  <si>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</si>
  <si>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</si>
  <si>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</si>
  <si>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</si>
  <si>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</si>
  <si>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</si>
  <si>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Total</t>
  </si>
  <si>
    <t>unspecified/outside of 10-55 range</t>
  </si>
  <si>
    <t>Age Group</t>
  </si>
  <si>
    <t>Number of Deaths</t>
  </si>
  <si>
    <t>55–59</t>
  </si>
  <si>
    <t>60–64</t>
  </si>
  <si>
    <t>65–69</t>
  </si>
  <si>
    <t>70–74</t>
  </si>
  <si>
    <t>75–79</t>
  </si>
  <si>
    <t>80+</t>
  </si>
  <si>
    <t>Male</t>
  </si>
  <si>
    <t>Female</t>
  </si>
  <si>
    <t>Sex</t>
  </si>
  <si>
    <t>00–04</t>
  </si>
  <si>
    <t>05–09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</si>
</sst>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ptos Narrow"/>
      <family val="2"/>
      <scheme val="minor"/>
    </font>
    <font>
      <b/>
      <sz val="12"/>
      <color rgb="FF1F1F1F"/>
      <name val="Aptos Display"/>
      <scheme val="major"/>
    </font>
    <font>
      <sz val="12"/>
      <color rgb="FF1F1F1F"/>
      <name val="Aptos Display"/>
      <scheme val="maj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3" fontId="1" fillId="0" borderId="0" xfId="0" applyNumberFormat="1" applyFont="1"/>
    <xf numFmtId="0" fontId="1" fillId="0" borderId="0" xfId="0" applyFont="1"/>
    <xf numFmtId="3" fontId="2" fillId="0" borderId="0" xfId="0" applyNumberFormat="1" applyFont="1"/>
    <xf numFmtId="164" fontId="4" fillId="0" borderId="0" xfId="1" applyNumberFormat="1" applyFont="1"/>
    <xf numFmtId="164" fontId="5" fillId="0" borderId="0" xfId="1" applyNumberFormat="1" applyFont="1"/>
    <xf numFmtId="164" fontId="6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1439-8397-6342-876C-C74AA763165A}">
  <dimension ref="A1:C14"/>
  <sheetViews>
    <sheetView workbookViewId="0">
      <selection activeCell="A3" sqref="A2:A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5" t="s">
        <v>25</v>
      </c>
      <c r="B2" s="3">
        <v>0</v>
      </c>
      <c r="C2" s="3">
        <v>0</v>
      </c>
    </row>
    <row r="3" spans="1:3" x14ac:dyDescent="0.2">
      <c r="A3" s="5" t="s">
        <v>26</v>
      </c>
      <c r="B3" s="3">
        <v>0</v>
      </c>
      <c r="C3" s="3">
        <v>0</v>
      </c>
    </row>
    <row r="4" spans="1:3" x14ac:dyDescent="0.2">
      <c r="A4" s="1" t="s">
        <v>3</v>
      </c>
      <c r="B4" s="2">
        <v>3598</v>
      </c>
      <c r="C4" s="3">
        <v>0.4</v>
      </c>
    </row>
    <row r="5" spans="1:3" x14ac:dyDescent="0.2">
      <c r="A5" s="1" t="s">
        <v>4</v>
      </c>
      <c r="B5" s="2">
        <v>101569</v>
      </c>
      <c r="C5" s="3">
        <v>11.1</v>
      </c>
    </row>
    <row r="6" spans="1:3" x14ac:dyDescent="0.2">
      <c r="A6" s="1" t="s">
        <v>5</v>
      </c>
      <c r="B6" s="2">
        <v>203766</v>
      </c>
      <c r="C6" s="3">
        <v>22.3</v>
      </c>
    </row>
    <row r="7" spans="1:3" x14ac:dyDescent="0.2">
      <c r="A7" s="1" t="s">
        <v>6</v>
      </c>
      <c r="B7" s="2">
        <v>232276</v>
      </c>
      <c r="C7" s="3">
        <v>25.5</v>
      </c>
    </row>
    <row r="8" spans="1:3" x14ac:dyDescent="0.2">
      <c r="A8" s="1" t="s">
        <v>7</v>
      </c>
      <c r="B8" s="2">
        <v>203622</v>
      </c>
      <c r="C8" s="3">
        <v>22.3</v>
      </c>
    </row>
    <row r="9" spans="1:3" x14ac:dyDescent="0.2">
      <c r="A9" s="1" t="s">
        <v>8</v>
      </c>
      <c r="B9" s="2">
        <v>127357</v>
      </c>
      <c r="C9" s="3">
        <v>14</v>
      </c>
    </row>
    <row r="10" spans="1:3" x14ac:dyDescent="0.2">
      <c r="A10" s="1" t="s">
        <v>9</v>
      </c>
      <c r="B10" s="2">
        <v>36797</v>
      </c>
      <c r="C10" s="3">
        <v>4</v>
      </c>
    </row>
    <row r="11" spans="1:3" x14ac:dyDescent="0.2">
      <c r="A11" s="1" t="s">
        <v>10</v>
      </c>
      <c r="B11" s="2">
        <v>2625</v>
      </c>
      <c r="C11" s="3">
        <v>0.3</v>
      </c>
    </row>
    <row r="12" spans="1:3" x14ac:dyDescent="0.2">
      <c r="A12" s="1" t="s">
        <v>11</v>
      </c>
      <c r="B12" s="3">
        <v>134</v>
      </c>
      <c r="C12" s="3">
        <v>0</v>
      </c>
    </row>
    <row r="13" spans="1:3" x14ac:dyDescent="0.2">
      <c r="A13" s="1" t="s">
        <v>13</v>
      </c>
      <c r="B13" s="3">
        <v>242</v>
      </c>
      <c r="C13" s="3">
        <v>0</v>
      </c>
    </row>
    <row r="14" spans="1:3" x14ac:dyDescent="0.2">
      <c r="A14" s="1" t="s">
        <v>12</v>
      </c>
      <c r="B14" s="4">
        <f>SUM(B4:B13)</f>
        <v>911986</v>
      </c>
      <c r="C14" s="4">
        <f>SUM(C4:C13)</f>
        <v>99.899999999999991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7209-6A7F-3946-B130-149CADA70302}">
  <dimension ref="A1:C19"/>
  <sheetViews>
    <sheetView workbookViewId="0">
      <selection activeCell="A18" sqref="A18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15</v>
      </c>
      <c r="C1" s="1" t="s">
        <v>2</v>
      </c>
    </row>
    <row r="2" spans="1:3" x14ac:dyDescent="0.2">
      <c r="A2" s="5" t="s">
        <v>25</v>
      </c>
      <c r="B2" s="2">
        <v>44785</v>
      </c>
      <c r="C2" s="3">
        <v>8.1</v>
      </c>
    </row>
    <row r="3" spans="1:3" x14ac:dyDescent="0.2">
      <c r="A3" s="5" t="s">
        <v>26</v>
      </c>
      <c r="B3" s="2">
        <v>4286</v>
      </c>
      <c r="C3" s="3">
        <v>0.8</v>
      </c>
    </row>
    <row r="4" spans="1:3" x14ac:dyDescent="0.2">
      <c r="A4" s="1" t="s">
        <v>3</v>
      </c>
      <c r="B4" s="2">
        <v>4524</v>
      </c>
      <c r="C4" s="3">
        <v>0.8</v>
      </c>
    </row>
    <row r="5" spans="1:3" x14ac:dyDescent="0.2">
      <c r="A5" s="1" t="s">
        <v>4</v>
      </c>
      <c r="B5" s="2">
        <v>10723</v>
      </c>
      <c r="C5" s="3">
        <v>1.9</v>
      </c>
    </row>
    <row r="6" spans="1:3" x14ac:dyDescent="0.2">
      <c r="A6" s="1" t="s">
        <v>5</v>
      </c>
      <c r="B6" s="2">
        <v>18349</v>
      </c>
      <c r="C6" s="3">
        <v>3.3</v>
      </c>
    </row>
    <row r="7" spans="1:3" x14ac:dyDescent="0.2">
      <c r="A7" s="1" t="s">
        <v>6</v>
      </c>
      <c r="B7" s="2">
        <v>24965</v>
      </c>
      <c r="C7" s="3">
        <v>4.5</v>
      </c>
    </row>
    <row r="8" spans="1:3" x14ac:dyDescent="0.2">
      <c r="A8" s="1" t="s">
        <v>7</v>
      </c>
      <c r="B8" s="2">
        <v>35463</v>
      </c>
      <c r="C8" s="3">
        <v>6.4</v>
      </c>
    </row>
    <row r="9" spans="1:3" x14ac:dyDescent="0.2">
      <c r="A9" s="1" t="s">
        <v>8</v>
      </c>
      <c r="B9" s="2">
        <v>42752</v>
      </c>
      <c r="C9" s="3">
        <v>7.7</v>
      </c>
    </row>
    <row r="10" spans="1:3" x14ac:dyDescent="0.2">
      <c r="A10" s="1" t="s">
        <v>9</v>
      </c>
      <c r="B10" s="2">
        <v>43514</v>
      </c>
      <c r="C10" s="3">
        <v>7.9</v>
      </c>
    </row>
    <row r="11" spans="1:3" x14ac:dyDescent="0.2">
      <c r="A11" s="1" t="s">
        <v>10</v>
      </c>
      <c r="B11" s="2">
        <v>42216</v>
      </c>
      <c r="C11" s="3">
        <v>7.6</v>
      </c>
    </row>
    <row r="12" spans="1:3" x14ac:dyDescent="0.2">
      <c r="A12" s="1" t="s">
        <v>11</v>
      </c>
      <c r="B12" s="2">
        <v>44525</v>
      </c>
      <c r="C12" s="3">
        <v>8.1</v>
      </c>
    </row>
    <row r="13" spans="1:3" x14ac:dyDescent="0.2">
      <c r="A13" s="1" t="s">
        <v>16</v>
      </c>
      <c r="B13" s="2">
        <v>46144</v>
      </c>
      <c r="C13" s="3">
        <v>8.3000000000000007</v>
      </c>
    </row>
    <row r="14" spans="1:3" x14ac:dyDescent="0.2">
      <c r="A14" s="1" t="s">
        <v>17</v>
      </c>
      <c r="B14" s="2">
        <v>47845</v>
      </c>
      <c r="C14" s="3">
        <v>8.6999999999999993</v>
      </c>
    </row>
    <row r="15" spans="1:3" x14ac:dyDescent="0.2">
      <c r="A15" s="1" t="s">
        <v>18</v>
      </c>
      <c r="B15" s="2">
        <v>43454</v>
      </c>
      <c r="C15" s="3">
        <v>7.9</v>
      </c>
    </row>
    <row r="16" spans="1:3" x14ac:dyDescent="0.2">
      <c r="A16" s="1" t="s">
        <v>19</v>
      </c>
      <c r="B16" s="2">
        <v>37284</v>
      </c>
      <c r="C16" s="3">
        <v>6.7</v>
      </c>
    </row>
    <row r="17" spans="1:3" x14ac:dyDescent="0.2">
      <c r="A17" s="1" t="s">
        <v>20</v>
      </c>
      <c r="B17" s="2">
        <v>27453</v>
      </c>
      <c r="C17" s="3">
        <v>5</v>
      </c>
    </row>
    <row r="18" spans="1:3" x14ac:dyDescent="0.2">
      <c r="A18" s="1" t="s">
        <v>21</v>
      </c>
      <c r="B18" s="2">
        <v>35245</v>
      </c>
      <c r="C18" s="3">
        <v>6.4</v>
      </c>
    </row>
    <row r="19" spans="1:3" x14ac:dyDescent="0.2">
      <c r="A19" s="1" t="s">
        <v>12</v>
      </c>
      <c r="B19" s="4">
        <v>553527</v>
      </c>
      <c r="C19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182F-386B-D54C-A8E8-8D2B3A30E32B}">
  <dimension ref="A1:K19"/>
  <sheetViews>
    <sheetView tabSelected="1" workbookViewId="0">
      <selection activeCell="I3" sqref="I3:L8"/>
    </sheetView>
  </sheetViews>
  <sheetFormatPr baseColWidth="10" defaultRowHeight="16" x14ac:dyDescent="0.2"/>
  <cols>
    <col min="2" max="2" width="13.83203125" customWidth="1"/>
    <col min="3" max="3" width="13" customWidth="1"/>
    <col min="4" max="4" width="17.33203125" customWidth="1"/>
    <col min="21" max="21" width="19.83203125" customWidth="1"/>
  </cols>
  <sheetData>
    <row r="1" spans="1:11" x14ac:dyDescent="0.2">
      <c r="A1" s="5" t="s">
        <v>24</v>
      </c>
      <c r="B1" s="5" t="s">
        <v>22</v>
      </c>
      <c r="C1" s="5" t="s">
        <v>23</v>
      </c>
      <c r="D1" s="5" t="s">
        <v>12</v>
      </c>
    </row>
    <row r="2" spans="1:11" x14ac:dyDescent="0.2">
      <c r="A2" s="5" t="s">
        <v>25</v>
      </c>
      <c r="B2" s="6">
        <v>2918292</v>
      </c>
      <c r="C2" s="6">
        <v>2915222</v>
      </c>
      <c r="D2" s="6">
        <v>5833515</v>
      </c>
    </row>
    <row r="3" spans="1:11" x14ac:dyDescent="0.2">
      <c r="A3" s="5" t="s">
        <v>26</v>
      </c>
      <c r="B3" s="6">
        <v>2561963</v>
      </c>
      <c r="C3" s="6">
        <v>2547141</v>
      </c>
      <c r="D3" s="6">
        <v>5109104</v>
      </c>
    </row>
    <row r="4" spans="1:11" x14ac:dyDescent="0.2">
      <c r="A4" s="5" t="s">
        <v>3</v>
      </c>
      <c r="B4" s="6">
        <v>2713448</v>
      </c>
      <c r="C4" s="6">
        <v>2690676</v>
      </c>
      <c r="D4" s="6">
        <v>5404124</v>
      </c>
      <c r="I4" s="6"/>
      <c r="J4" s="6"/>
      <c r="K4" s="6"/>
    </row>
    <row r="5" spans="1:11" x14ac:dyDescent="0.2">
      <c r="A5" s="5" t="s">
        <v>4</v>
      </c>
      <c r="B5" s="6">
        <v>2504677</v>
      </c>
      <c r="C5" s="6">
        <v>2470633</v>
      </c>
      <c r="D5" s="6">
        <v>4975309</v>
      </c>
      <c r="I5" s="6"/>
      <c r="J5" s="6"/>
      <c r="K5" s="6"/>
    </row>
    <row r="6" spans="1:11" x14ac:dyDescent="0.2">
      <c r="A6" s="5" t="s">
        <v>5</v>
      </c>
      <c r="B6" s="6">
        <v>2670986</v>
      </c>
      <c r="C6" s="6">
        <v>2638753</v>
      </c>
      <c r="D6" s="6">
        <v>5309738</v>
      </c>
      <c r="I6" s="8"/>
      <c r="J6" s="8"/>
      <c r="K6" s="8"/>
    </row>
    <row r="7" spans="1:11" x14ac:dyDescent="0.2">
      <c r="A7" s="5" t="s">
        <v>6</v>
      </c>
      <c r="B7" s="6">
        <v>2825292</v>
      </c>
      <c r="C7" s="6">
        <v>2907947</v>
      </c>
      <c r="D7" s="6">
        <v>5733239</v>
      </c>
    </row>
    <row r="8" spans="1:11" x14ac:dyDescent="0.2">
      <c r="A8" s="5" t="s">
        <v>7</v>
      </c>
      <c r="B8" s="6">
        <v>2776212</v>
      </c>
      <c r="C8" s="6">
        <v>2816611</v>
      </c>
      <c r="D8" s="6">
        <v>5592823</v>
      </c>
    </row>
    <row r="9" spans="1:11" x14ac:dyDescent="0.2">
      <c r="A9" s="5" t="s">
        <v>8</v>
      </c>
      <c r="B9" s="6">
        <v>2596891</v>
      </c>
      <c r="C9" s="6">
        <v>2625711</v>
      </c>
      <c r="D9" s="6">
        <v>5222603</v>
      </c>
    </row>
    <row r="10" spans="1:11" x14ac:dyDescent="0.2">
      <c r="A10" s="5" t="s">
        <v>9</v>
      </c>
      <c r="B10" s="6">
        <v>2089077</v>
      </c>
      <c r="C10" s="6">
        <v>2096144</v>
      </c>
      <c r="D10" s="6">
        <v>4185220</v>
      </c>
    </row>
    <row r="11" spans="1:11" x14ac:dyDescent="0.2">
      <c r="A11" s="5" t="s">
        <v>10</v>
      </c>
      <c r="B11" s="6">
        <v>1586698</v>
      </c>
      <c r="C11" s="6">
        <v>1706813</v>
      </c>
      <c r="D11" s="6">
        <v>3293511</v>
      </c>
    </row>
    <row r="12" spans="1:11" x14ac:dyDescent="0.2">
      <c r="A12" s="5" t="s">
        <v>11</v>
      </c>
      <c r="B12" s="6">
        <v>1277910</v>
      </c>
      <c r="C12" s="6">
        <v>1491229</v>
      </c>
      <c r="D12" s="6">
        <v>2769139</v>
      </c>
    </row>
    <row r="13" spans="1:11" x14ac:dyDescent="0.2">
      <c r="A13" s="5" t="s">
        <v>16</v>
      </c>
      <c r="B13" s="6">
        <v>1100778</v>
      </c>
      <c r="C13" s="6">
        <v>1395674</v>
      </c>
      <c r="D13" s="6">
        <v>2496452</v>
      </c>
    </row>
    <row r="14" spans="1:11" x14ac:dyDescent="0.2">
      <c r="A14" s="5" t="s">
        <v>17</v>
      </c>
      <c r="B14" s="6">
        <v>912280</v>
      </c>
      <c r="C14" s="6">
        <v>1183387</v>
      </c>
      <c r="D14" s="6">
        <v>2095667</v>
      </c>
    </row>
    <row r="15" spans="1:11" x14ac:dyDescent="0.2">
      <c r="A15" s="5" t="s">
        <v>18</v>
      </c>
      <c r="B15" s="6">
        <v>672433</v>
      </c>
      <c r="C15" s="6">
        <v>927238</v>
      </c>
      <c r="D15" s="6">
        <v>1599671</v>
      </c>
    </row>
    <row r="16" spans="1:11" x14ac:dyDescent="0.2">
      <c r="A16" s="5" t="s">
        <v>19</v>
      </c>
      <c r="B16" s="6">
        <v>419393</v>
      </c>
      <c r="C16" s="6">
        <v>626614</v>
      </c>
      <c r="D16" s="6">
        <v>1046006</v>
      </c>
    </row>
    <row r="17" spans="1:4" x14ac:dyDescent="0.2">
      <c r="A17" s="5" t="s">
        <v>20</v>
      </c>
      <c r="B17" s="6">
        <v>238713</v>
      </c>
      <c r="C17" s="6">
        <v>413321</v>
      </c>
      <c r="D17" s="6">
        <v>652033</v>
      </c>
    </row>
    <row r="18" spans="1:4" x14ac:dyDescent="0.2">
      <c r="A18" s="5" t="s">
        <v>21</v>
      </c>
      <c r="B18" s="6">
        <v>213714</v>
      </c>
      <c r="C18" s="6">
        <v>495632</v>
      </c>
      <c r="D18" s="6">
        <v>709346</v>
      </c>
    </row>
    <row r="19" spans="1:4" x14ac:dyDescent="0.2">
      <c r="A19" s="5" t="s">
        <v>12</v>
      </c>
      <c r="B19" s="7">
        <f>SUM(B2:B18)</f>
        <v>30078757</v>
      </c>
      <c r="C19" s="7">
        <f>SUM(C2:C18)</f>
        <v>31948746</v>
      </c>
      <c r="D19" s="7">
        <f>SUM(D2:D18)</f>
        <v>62027500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LiveBirthRates2022</vt:lpstr>
      <vt:lpstr>MortalityRates2022</vt:lpstr>
      <vt:lpstr>PopCount2022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Ray</dc:creator>
  <cp:lastModifiedBy>Isabel Ray</cp:lastModifiedBy>
  <dcterms:created xsi:type="dcterms:W3CDTF">2026-05-15T15:55:08Z</dcterms:created>
  <dcterms:modified xsi:type="dcterms:W3CDTF">2026-05-16T11:55:20Z</dcterms:modified>
</cp:coreProperties>
</file>