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ray/Desktop/UNI/PhD/"/>
    </mc:Choice>
  </mc:AlternateContent>
  <xr:revisionPtr revIDLastSave="0" documentId="13_ncr:1_{B739C0E6-5C51-5341-93E5-648417F2AECD}" xr6:coauthVersionLast="47" xr6:coauthVersionMax="47" xr10:uidLastSave="{00000000-0000-0000-0000-000000000000}"/>
  <bookViews>
    <workbookView xWindow="0" yWindow="600" windowWidth="28800" windowHeight="17400" xr2:uid="{C0C05D2D-DAE6-894A-89DF-3D649478C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1" l="1"/>
  <c r="T9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T2" i="1"/>
  <c r="T4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<sst xmlns="http://schemas.openxmlformats.org/spreadsheetml/2006/main" count="30" uniqueCount="30">
  <si>
    <t>00–04</t>
  </si>
  <si>
    <t>05–09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</si>
  <si>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</si>
  <si>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</si>
  <si>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</si>
  <si>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</si>
  <si>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</si>
  <si>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</si>
  <si>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</si>
  <si>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</si>
  <si>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</si>
  <si>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</si>
  <si>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</si>
  <si>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</si>
  <si>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</si>
  <si>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</si>
  <si>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80–84</t>
  </si>
  <si>
    <t>85+</t>
  </si>
  <si>
    <t>Total</t>
  </si>
  <si>
    <t>Demographic</t>
  </si>
  <si>
    <t>7 627 688</t>
  </si>
  <si>
    <t>2022 Census percentages</t>
  </si>
  <si>
    <t>2011 Census</t>
  </si>
  <si>
    <t>2011 Census percentages</t>
  </si>
  <si>
    <t> 2018 Joubert</t>
  </si>
  <si>
    <t> 2022 Joubert</t>
  </si>
  <si>
    <t> 2022 Stats SA</t>
  </si>
  <si>
    <t> 2024 Stats SA</t>
  </si>
  <si>
    <t> 2025 Stats SA</t>
  </si>
  <si>
    <t> 2022 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</si>
</sst>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b/>
      <sz val="12"/>
      <color rgb="FF333333"/>
      <name val="Helvetica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 vertical="top" wrapText="1"/>
    </xf>
    <xf numFmtId="164" fontId="5" fillId="0" borderId="0" xfId="1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top" wrapText="1"/>
    </xf>
    <xf numFmtId="10" fontId="5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164" fontId="4" fillId="0" borderId="0" xfId="1" applyNumberFormat="1" applyFont="1" applyBorder="1"/>
    <xf numFmtId="164" fontId="4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Border="1" applyAlignment="1">
      <alignment horizontal="right" vertical="top"/>
    </xf>
    <xf numFmtId="164" fontId="4" fillId="0" borderId="0" xfId="0" applyNumberFormat="1" applyFont="1"/>
    <xf numFmtId="164" fontId="6" fillId="0" borderId="0" xfId="1" applyNumberFormat="1" applyFont="1" applyFill="1" applyBorder="1" applyAlignment="1">
      <alignment horizontal="right" vertical="center"/>
    </xf>
    <xf numFmtId="164" fontId="0" fillId="0" borderId="0" xfId="1" applyNumberFormat="1" applyFont="1"/>
    <xf numFmtId="0" fontId="7" fillId="0" borderId="0" xfId="0" applyFont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7A9E-75D8-5848-8324-4634298320B0}">
  <dimension ref="A1:U21"/>
  <sheetViews>
    <sheetView tabSelected="1" workbookViewId="0">
      <selection activeCell="A3" sqref="A3"/>
    </sheetView>
  </sheetViews>
  <sheetFormatPr baseColWidth="10" defaultRowHeight="16"/>
  <cols>
    <col min="1" max="1" width="22.83203125" style="2" customWidth="1"/>
    <col min="2" max="2" width="15.33203125" bestFit="1" customWidth="1"/>
    <col min="3" max="5" width="11.6640625" bestFit="1" customWidth="1"/>
    <col min="6" max="7" width="13" bestFit="1" customWidth="1"/>
    <col min="8" max="17" width="11.6640625" bestFit="1" customWidth="1"/>
    <col min="18" max="18" width="11.1640625" bestFit="1" customWidth="1"/>
    <col min="19" max="19" width="11" bestFit="1" customWidth="1"/>
    <col min="20" max="20" width="18.6640625" customWidth="1"/>
    <col min="21" max="21" width="13" bestFit="1" customWidth="1"/>
  </cols>
  <sheetData>
    <row r="1" spans="1:21" ht="17">
      <c r="A1" s="4" t="s">
        <v>19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1"/>
    </row>
    <row r="2" spans="1:21" s="1" customFormat="1" ht="17">
      <c r="A2" s="4" t="s">
        <v>23</v>
      </c>
      <c r="B2" s="5">
        <v>9.7000000000000003E-2</v>
      </c>
      <c r="C2" s="5">
        <v>7.9000000000000001E-2</v>
      </c>
      <c r="D2" s="5">
        <v>7.4999999999999997E-2</v>
      </c>
      <c r="E2" s="5">
        <v>8.2000000000000003E-2</v>
      </c>
      <c r="F2" s="5">
        <v>0.1</v>
      </c>
      <c r="G2" s="5">
        <v>0.10199999999999999</v>
      </c>
      <c r="H2" s="5">
        <v>8.3000000000000004E-2</v>
      </c>
      <c r="I2" s="5">
        <v>7.4999999999999997E-2</v>
      </c>
      <c r="J2" s="5">
        <v>6.8000000000000005E-2</v>
      </c>
      <c r="K2" s="5">
        <v>0.06</v>
      </c>
      <c r="L2" s="5">
        <v>0.05</v>
      </c>
      <c r="M2" s="5">
        <v>3.9E-2</v>
      </c>
      <c r="N2" s="5">
        <v>3.1E-2</v>
      </c>
      <c r="O2" s="5">
        <v>2.1999999999999999E-2</v>
      </c>
      <c r="P2" s="5">
        <v>1.6E-2</v>
      </c>
      <c r="Q2" s="5">
        <v>0.01</v>
      </c>
      <c r="R2" s="5">
        <v>6.0000000000000001E-3</v>
      </c>
      <c r="S2" s="5">
        <v>5.0000000000000001E-3</v>
      </c>
      <c r="T2" s="5">
        <f>SUM(B2:S2)</f>
        <v>1</v>
      </c>
      <c r="U2" s="8"/>
    </row>
    <row r="3" spans="1:21" s="1" customFormat="1" ht="17">
      <c r="A3" s="4" t="s">
        <v>22</v>
      </c>
      <c r="B3" s="3">
        <f>ROUND(B2*T3,0)</f>
        <v>564805</v>
      </c>
      <c r="C3" s="3">
        <f>ROUND(C2*T3,0)</f>
        <v>459996</v>
      </c>
      <c r="D3" s="3">
        <f>ROUND(D2*T3,0)</f>
        <v>436705</v>
      </c>
      <c r="E3" s="3">
        <f>ROUND(E2*T3,0)</f>
        <v>477464</v>
      </c>
      <c r="F3" s="3">
        <f>ROUND(F2*T3,0)</f>
        <v>582274</v>
      </c>
      <c r="G3" s="3">
        <f>ROUND(G2*T3,0)</f>
        <v>593919</v>
      </c>
      <c r="H3" s="3">
        <f>ROUND(H2*T3,0)</f>
        <v>483287</v>
      </c>
      <c r="I3" s="3">
        <f>ROUND(I2*T3,0)</f>
        <v>436705</v>
      </c>
      <c r="J3" s="3">
        <f>ROUND(J2*T3,0)</f>
        <v>395946</v>
      </c>
      <c r="K3" s="3">
        <f>ROUND(K2*T3,0)</f>
        <v>349364</v>
      </c>
      <c r="L3" s="3">
        <f>ROUND(L2*T3,0)</f>
        <v>291137</v>
      </c>
      <c r="M3" s="3">
        <f>ROUND(M2*T3,0)</f>
        <v>227087</v>
      </c>
      <c r="N3" s="3">
        <f>ROUND(N2*T3,0)</f>
        <v>180505</v>
      </c>
      <c r="O3" s="3">
        <f>ROUND(O2*T3,0)</f>
        <v>128100</v>
      </c>
      <c r="P3" s="3">
        <f>ROUND(P2*T3,0)</f>
        <v>93164</v>
      </c>
      <c r="Q3" s="3">
        <f>ROUND(Q2*T3,0)</f>
        <v>58227</v>
      </c>
      <c r="R3" s="3">
        <f>ROUND(R2*T3,0)</f>
        <v>34936</v>
      </c>
      <c r="S3" s="3">
        <f>ROUND(S2*T3,0)</f>
        <v>29114</v>
      </c>
      <c r="T3" s="19">
        <v>5822735</v>
      </c>
      <c r="U3" s="9"/>
    </row>
    <row r="4" spans="1:21" ht="17">
      <c r="A4" s="6" t="s">
        <v>21</v>
      </c>
      <c r="B4" s="10">
        <v>7.9000000000000001E-2</v>
      </c>
      <c r="C4" s="10">
        <v>7.0000000000000007E-2</v>
      </c>
      <c r="D4" s="10">
        <v>7.4999999999999997E-2</v>
      </c>
      <c r="E4" s="10">
        <v>7.1999999999999995E-2</v>
      </c>
      <c r="F4" s="10">
        <v>8.6999999999999994E-2</v>
      </c>
      <c r="G4" s="10">
        <v>9.4E-2</v>
      </c>
      <c r="H4" s="10">
        <v>9.1999999999999998E-2</v>
      </c>
      <c r="I4" s="10">
        <v>9.0999999999999998E-2</v>
      </c>
      <c r="J4" s="10">
        <v>7.4999999999999997E-2</v>
      </c>
      <c r="K4" s="10">
        <v>5.8000000000000003E-2</v>
      </c>
      <c r="L4" s="10">
        <v>5.1999999999999998E-2</v>
      </c>
      <c r="M4" s="10">
        <v>4.4999999999999998E-2</v>
      </c>
      <c r="N4" s="10">
        <v>3.7999999999999999E-2</v>
      </c>
      <c r="O4" s="10">
        <v>2.8000000000000001E-2</v>
      </c>
      <c r="P4" s="10">
        <v>0.02</v>
      </c>
      <c r="Q4" s="10">
        <v>1.2999999999999999E-2</v>
      </c>
      <c r="R4" s="10">
        <v>7.0000000000000001E-3</v>
      </c>
      <c r="S4" s="10">
        <v>5.0000000000000001E-3</v>
      </c>
      <c r="T4" s="10">
        <f>SUM(B4:S4)</f>
        <v>1.0010000000000001</v>
      </c>
      <c r="U4" s="8"/>
    </row>
    <row r="5" spans="1:21">
      <c r="A5" s="21" t="s">
        <v>29</v>
      </c>
      <c r="B5" s="11">
        <f>B4*T5</f>
        <v>587208.57999999996</v>
      </c>
      <c r="C5" s="11">
        <f>C4*T5</f>
        <v>520311.4</v>
      </c>
      <c r="D5" s="11">
        <f>D4*T5</f>
        <v>557476.5</v>
      </c>
      <c r="E5" s="11">
        <f>E4*T5</f>
        <v>535177.43999999994</v>
      </c>
      <c r="F5" s="11">
        <f>F4*T5</f>
        <v>646672.74</v>
      </c>
      <c r="G5" s="11">
        <f>G4*T5</f>
        <v>698703.88</v>
      </c>
      <c r="H5" s="11">
        <f>H4*T5</f>
        <v>683837.84</v>
      </c>
      <c r="I5" s="11">
        <f>I4*T5</f>
        <v>676404.82</v>
      </c>
      <c r="J5" s="11">
        <f>J4*T5</f>
        <v>557476.5</v>
      </c>
      <c r="K5" s="11">
        <f>K4*T5</f>
        <v>431115.16000000003</v>
      </c>
      <c r="L5" s="11">
        <f>L4*T5</f>
        <v>386517.04</v>
      </c>
      <c r="M5" s="11">
        <f>M4*T5</f>
        <v>334485.89999999997</v>
      </c>
      <c r="N5" s="11">
        <f>N4*T5</f>
        <v>282454.76</v>
      </c>
      <c r="O5" s="11">
        <f>O4*T5</f>
        <v>208124.56</v>
      </c>
      <c r="P5" s="11">
        <f>P4*T5</f>
        <v>148660.4</v>
      </c>
      <c r="Q5" s="11">
        <f>Q4*T5</f>
        <v>96629.26</v>
      </c>
      <c r="R5" s="11">
        <f>R4*T5</f>
        <v>52031.14</v>
      </c>
      <c r="S5" s="11">
        <f>S4*T5</f>
        <v>37165.1</v>
      </c>
      <c r="T5" s="12">
        <v>7433020</v>
      </c>
      <c r="U5" s="13"/>
    </row>
    <row r="6" spans="1:21">
      <c r="A6" s="21" t="s">
        <v>28</v>
      </c>
      <c r="B6" s="14">
        <v>534142</v>
      </c>
      <c r="C6" s="14">
        <v>533310</v>
      </c>
      <c r="D6" s="14">
        <v>582460</v>
      </c>
      <c r="E6" s="14">
        <v>601478</v>
      </c>
      <c r="F6" s="14">
        <v>561903</v>
      </c>
      <c r="G6" s="14">
        <v>607754</v>
      </c>
      <c r="H6" s="14">
        <v>668027</v>
      </c>
      <c r="I6" s="14">
        <v>710057</v>
      </c>
      <c r="J6" s="14">
        <v>617314</v>
      </c>
      <c r="K6" s="14">
        <v>482906</v>
      </c>
      <c r="L6" s="14">
        <v>422059</v>
      </c>
      <c r="M6" s="14">
        <v>367932</v>
      </c>
      <c r="N6" s="14">
        <v>311716</v>
      </c>
      <c r="O6" s="14">
        <v>244042</v>
      </c>
      <c r="P6" s="14">
        <v>175109</v>
      </c>
      <c r="Q6" s="14">
        <v>119228</v>
      </c>
      <c r="R6" s="14">
        <v>88250</v>
      </c>
      <c r="S6" s="1"/>
      <c r="T6" s="17" t="s">
        <v>20</v>
      </c>
      <c r="U6" s="13"/>
    </row>
    <row r="7" spans="1:21">
      <c r="A7" s="21" t="s">
        <v>27</v>
      </c>
      <c r="B7" s="15">
        <v>580928</v>
      </c>
      <c r="C7" s="15">
        <v>557784</v>
      </c>
      <c r="D7" s="15">
        <v>592805</v>
      </c>
      <c r="E7" s="15">
        <v>592344</v>
      </c>
      <c r="F7" s="15">
        <v>549038</v>
      </c>
      <c r="G7" s="15">
        <v>609262</v>
      </c>
      <c r="H7" s="15">
        <v>676191</v>
      </c>
      <c r="I7" s="15">
        <v>701020</v>
      </c>
      <c r="J7" s="15">
        <v>595481</v>
      </c>
      <c r="K7" s="15">
        <v>473516</v>
      </c>
      <c r="L7" s="15">
        <v>413586</v>
      </c>
      <c r="M7" s="15">
        <v>354836</v>
      </c>
      <c r="N7" s="15">
        <v>293442</v>
      </c>
      <c r="O7" s="15">
        <v>225058</v>
      </c>
      <c r="P7" s="15">
        <v>160856</v>
      </c>
      <c r="Q7" s="15">
        <v>108577</v>
      </c>
      <c r="R7" s="15">
        <v>77865</v>
      </c>
      <c r="S7" s="1"/>
      <c r="T7" s="16">
        <v>7562588</v>
      </c>
      <c r="U7" s="15"/>
    </row>
    <row r="8" spans="1:21">
      <c r="A8" s="21" t="s">
        <v>26</v>
      </c>
      <c r="B8" s="15">
        <v>586201</v>
      </c>
      <c r="C8" s="15">
        <v>563946</v>
      </c>
      <c r="D8" s="15">
        <v>584587</v>
      </c>
      <c r="E8" s="15">
        <v>541399</v>
      </c>
      <c r="F8" s="15">
        <v>541516</v>
      </c>
      <c r="G8" s="15">
        <v>618913</v>
      </c>
      <c r="H8" s="15">
        <v>674382</v>
      </c>
      <c r="I8" s="15">
        <v>645660</v>
      </c>
      <c r="J8" s="15">
        <v>522499</v>
      </c>
      <c r="K8" s="15">
        <v>443366</v>
      </c>
      <c r="L8" s="15">
        <v>387070</v>
      </c>
      <c r="M8" s="15">
        <v>328100</v>
      </c>
      <c r="N8" s="15">
        <v>263720</v>
      </c>
      <c r="O8" s="15">
        <v>197991</v>
      </c>
      <c r="P8" s="15">
        <v>143999</v>
      </c>
      <c r="Q8" s="15">
        <v>94167</v>
      </c>
      <c r="R8" s="15">
        <v>74627</v>
      </c>
      <c r="S8" s="1"/>
      <c r="T8" s="16">
        <v>7212142</v>
      </c>
      <c r="U8" s="18"/>
    </row>
    <row r="9" spans="1:21">
      <c r="A9" s="22" t="s">
        <v>24</v>
      </c>
      <c r="B9" s="20">
        <v>422920</v>
      </c>
      <c r="C9" s="20">
        <v>357981</v>
      </c>
      <c r="D9" s="20">
        <v>335851</v>
      </c>
      <c r="E9" s="20">
        <v>370119</v>
      </c>
      <c r="F9" s="20">
        <v>444595</v>
      </c>
      <c r="G9" s="20">
        <v>440051</v>
      </c>
      <c r="H9" s="20">
        <v>333660</v>
      </c>
      <c r="I9" s="20">
        <v>306382</v>
      </c>
      <c r="J9" s="20">
        <v>271116</v>
      </c>
      <c r="K9" s="20">
        <v>238867</v>
      </c>
      <c r="L9" s="20">
        <v>202313</v>
      </c>
      <c r="M9" s="20">
        <v>155198</v>
      </c>
      <c r="N9" s="20">
        <v>121790</v>
      </c>
      <c r="O9" s="20">
        <v>80816</v>
      </c>
      <c r="P9" s="20">
        <v>60285</v>
      </c>
      <c r="Q9" s="20">
        <v>40262</v>
      </c>
      <c r="R9" s="20">
        <v>22684</v>
      </c>
      <c r="S9">
        <v>16836</v>
      </c>
      <c r="T9" s="16">
        <f>SUM(B9:S9)</f>
        <v>4221726</v>
      </c>
      <c r="U9" s="1"/>
    </row>
    <row r="10" spans="1:21">
      <c r="A10" s="22" t="s">
        <v>25</v>
      </c>
      <c r="B10" s="20">
        <v>725590</v>
      </c>
      <c r="C10" s="20">
        <v>613572</v>
      </c>
      <c r="D10" s="20">
        <v>580851</v>
      </c>
      <c r="E10" s="20">
        <v>625602</v>
      </c>
      <c r="F10" s="20">
        <v>739255</v>
      </c>
      <c r="G10" s="20">
        <v>730322</v>
      </c>
      <c r="H10" s="20">
        <v>561346</v>
      </c>
      <c r="I10" s="20">
        <v>518228</v>
      </c>
      <c r="J10" s="20">
        <v>463094</v>
      </c>
      <c r="K10" s="20">
        <v>410288</v>
      </c>
      <c r="L10" s="20">
        <v>346591</v>
      </c>
      <c r="M10" s="20">
        <v>267186</v>
      </c>
      <c r="N10" s="20">
        <v>210862</v>
      </c>
      <c r="O10" s="20">
        <v>146466</v>
      </c>
      <c r="P10" s="20">
        <v>108734</v>
      </c>
      <c r="Q10" s="20">
        <v>71764</v>
      </c>
      <c r="R10" s="20">
        <v>41192</v>
      </c>
      <c r="S10">
        <v>28955</v>
      </c>
      <c r="T10" s="16">
        <f>SUM(B10:S10)</f>
        <v>7189898</v>
      </c>
      <c r="U10" s="1"/>
    </row>
    <row r="11" spans="1:21">
      <c r="A11" s="2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2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2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2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2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2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2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2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2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Ray</dc:creator>
  <cp:lastModifiedBy>Isabel Ray</cp:lastModifiedBy>
  <dcterms:created xsi:type="dcterms:W3CDTF">2026-04-28T14:37:14Z</dcterms:created>
  <dcterms:modified xsi:type="dcterms:W3CDTF">2026-05-12T18:07:43Z</dcterms:modified>
</cp:coreProperties>
</file>